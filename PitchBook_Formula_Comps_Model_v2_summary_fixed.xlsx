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uftscloud-my.sharepoint.com/personal/ljain01_tufts_edu/Documents/University/Spring 26/EC157/"/>
    </mc:Choice>
  </mc:AlternateContent>
  <xr:revisionPtr revIDLastSave="297" documentId="14_{713D5AC3-7970-433E-90F7-DEBCFE422BA0}" xr6:coauthVersionLast="47" xr6:coauthVersionMax="47" xr10:uidLastSave="{CBEDC921-34B9-4F8C-8021-9C231376E890}"/>
  <bookViews>
    <workbookView xWindow="-110" yWindow="-110" windowWidth="22620" windowHeight="13500" firstSheet="1" activeTab="1" xr2:uid="{00000000-000D-0000-FFFF-FFFF00000000}"/>
  </bookViews>
  <sheets>
    <sheet name="PB_CACHE" sheetId="11" state="veryHidden" r:id="rId1"/>
    <sheet name="Sheet1" sheetId="9" r:id="rId2"/>
    <sheet name="IPO_2023_05_04" sheetId="1" r:id="rId3"/>
    <sheet name="Post1Y_2024_05_04" sheetId="2" r:id="rId4"/>
    <sheet name="PreDeal_2025_10_31" sheetId="4" r:id="rId5"/>
    <sheet name="Summar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9" l="1"/>
  <c r="G18" i="9"/>
  <c r="G30" i="9"/>
  <c r="G19" i="9"/>
  <c r="G31" i="9"/>
  <c r="G8" i="9"/>
  <c r="G20" i="9"/>
  <c r="G32" i="9"/>
  <c r="G9" i="9"/>
  <c r="G33" i="9"/>
  <c r="G22" i="9"/>
  <c r="G34" i="9"/>
  <c r="G23" i="9"/>
  <c r="G35" i="9"/>
  <c r="G24" i="9"/>
  <c r="G13" i="9"/>
  <c r="G37" i="9"/>
  <c r="G14" i="9"/>
  <c r="G26" i="9"/>
  <c r="G15" i="9"/>
  <c r="G39" i="9"/>
  <c r="G7" i="9"/>
  <c r="G21" i="9"/>
  <c r="G10" i="9"/>
  <c r="G12" i="9"/>
  <c r="G36" i="9"/>
  <c r="G25" i="9"/>
  <c r="G38" i="9"/>
  <c r="G27" i="9"/>
  <c r="G40" i="9"/>
  <c r="G11" i="9"/>
  <c r="G16" i="9"/>
  <c r="G29" i="9"/>
  <c r="G28" i="9"/>
  <c r="G17" i="9"/>
  <c r="G5" i="9"/>
  <c r="F6" i="9"/>
  <c r="F18" i="9"/>
  <c r="F30" i="9"/>
  <c r="F12" i="9"/>
  <c r="F25" i="9"/>
  <c r="F27" i="9"/>
  <c r="F40" i="9"/>
  <c r="F7" i="9"/>
  <c r="F19" i="9"/>
  <c r="F31" i="9"/>
  <c r="F11" i="9"/>
  <c r="F24" i="9"/>
  <c r="F37" i="9"/>
  <c r="F38" i="9"/>
  <c r="F39" i="9"/>
  <c r="F8" i="9"/>
  <c r="F20" i="9"/>
  <c r="F32" i="9"/>
  <c r="F22" i="9"/>
  <c r="F23" i="9"/>
  <c r="F36" i="9"/>
  <c r="F14" i="9"/>
  <c r="F15" i="9"/>
  <c r="F28" i="9"/>
  <c r="F9" i="9"/>
  <c r="F21" i="9"/>
  <c r="F33" i="9"/>
  <c r="F10" i="9"/>
  <c r="F34" i="9"/>
  <c r="F35" i="9"/>
  <c r="F13" i="9"/>
  <c r="F26" i="9"/>
  <c r="F16" i="9"/>
  <c r="F17" i="9"/>
  <c r="F5" i="9"/>
  <c r="C6" i="9"/>
  <c r="C18" i="9"/>
  <c r="C30" i="9"/>
  <c r="C7" i="9"/>
  <c r="C31" i="9"/>
  <c r="C8" i="9"/>
  <c r="C20" i="9"/>
  <c r="C32" i="9"/>
  <c r="C25" i="9"/>
  <c r="C16" i="9"/>
  <c r="C17" i="9"/>
  <c r="C19" i="9"/>
  <c r="C36" i="9"/>
  <c r="C15" i="9"/>
  <c r="C28" i="9"/>
  <c r="C9" i="9"/>
  <c r="C21" i="9"/>
  <c r="C33" i="9"/>
  <c r="C23" i="9"/>
  <c r="C14" i="9"/>
  <c r="C39" i="9"/>
  <c r="C29" i="9"/>
  <c r="C10" i="9"/>
  <c r="C22" i="9"/>
  <c r="C34" i="9"/>
  <c r="C11" i="9"/>
  <c r="C35" i="9"/>
  <c r="C37" i="9"/>
  <c r="C26" i="9"/>
  <c r="C27" i="9"/>
  <c r="C12" i="9"/>
  <c r="C24" i="9"/>
  <c r="C13" i="9"/>
  <c r="C38" i="9"/>
  <c r="C40" i="9"/>
  <c r="C5" i="9"/>
  <c r="B38" i="9"/>
  <c r="B40" i="9"/>
  <c r="B39" i="9"/>
  <c r="B19" i="9"/>
  <c r="B31" i="9"/>
  <c r="B32" i="9"/>
  <c r="B21" i="9"/>
  <c r="B33" i="9"/>
  <c r="B26" i="9"/>
  <c r="B30" i="9"/>
  <c r="B20" i="9"/>
  <c r="B29" i="9"/>
  <c r="B22" i="9"/>
  <c r="B34" i="9"/>
  <c r="B35" i="9"/>
  <c r="B24" i="9"/>
  <c r="B36" i="9"/>
  <c r="B25" i="9"/>
  <c r="B28" i="9"/>
  <c r="B23" i="9"/>
  <c r="B37" i="9"/>
  <c r="B27" i="9"/>
  <c r="B9" i="9"/>
  <c r="B10" i="9"/>
  <c r="B11" i="9"/>
  <c r="B12" i="9"/>
  <c r="B13" i="9"/>
  <c r="B14" i="9"/>
  <c r="B15" i="9"/>
  <c r="B16" i="9"/>
  <c r="B17" i="9"/>
  <c r="B6" i="9"/>
  <c r="B18" i="9"/>
  <c r="B7" i="9"/>
  <c r="B8" i="9"/>
  <c r="B5" i="9"/>
  <c r="F29" i="9"/>
  <c r="G6" i="4"/>
  <c r="G7" i="4"/>
  <c r="G8" i="4"/>
  <c r="G9" i="4"/>
  <c r="G10" i="4"/>
  <c r="G11" i="4"/>
  <c r="G12" i="4"/>
  <c r="G5" i="4"/>
  <c r="F6" i="4"/>
  <c r="F11" i="4"/>
  <c r="F7" i="4"/>
  <c r="F12" i="4"/>
  <c r="F8" i="4"/>
  <c r="F10" i="4"/>
  <c r="F9" i="4"/>
  <c r="F5" i="4"/>
  <c r="G6" i="2"/>
  <c r="G7" i="2"/>
  <c r="G8" i="2"/>
  <c r="G9" i="2"/>
  <c r="G10" i="2"/>
  <c r="G11" i="2"/>
  <c r="G12" i="2"/>
  <c r="G5" i="2"/>
  <c r="F6" i="2"/>
  <c r="F7" i="2"/>
  <c r="F8" i="2"/>
  <c r="F9" i="2"/>
  <c r="F10" i="2"/>
  <c r="F11" i="2"/>
  <c r="F12" i="2"/>
  <c r="F5" i="2"/>
  <c r="G6" i="1"/>
  <c r="G7" i="1"/>
  <c r="G9" i="1"/>
  <c r="G11" i="1"/>
  <c r="G12" i="1"/>
  <c r="G8" i="1"/>
  <c r="G10" i="1"/>
  <c r="G5" i="1"/>
  <c r="F7" i="1"/>
  <c r="F11" i="1"/>
  <c r="F6" i="1"/>
  <c r="F8" i="1"/>
  <c r="F9" i="1"/>
  <c r="F12" i="1"/>
  <c r="F10" i="1"/>
  <c r="F5" i="1"/>
  <c r="E6" i="9"/>
  <c r="E18" i="9"/>
  <c r="E30" i="9"/>
  <c r="E19" i="9"/>
  <c r="E31" i="9"/>
  <c r="E8" i="9"/>
  <c r="E20" i="9"/>
  <c r="E32" i="9"/>
  <c r="E9" i="9"/>
  <c r="E21" i="9"/>
  <c r="E33" i="9"/>
  <c r="E10" i="9"/>
  <c r="E22" i="9"/>
  <c r="E34" i="9"/>
  <c r="E35" i="9"/>
  <c r="E12" i="9"/>
  <c r="E36" i="9"/>
  <c r="E25" i="9"/>
  <c r="E37" i="9"/>
  <c r="E14" i="9"/>
  <c r="E38" i="9"/>
  <c r="E39" i="9"/>
  <c r="E28" i="9"/>
  <c r="E29" i="9"/>
  <c r="E7" i="9"/>
  <c r="E11" i="9"/>
  <c r="E24" i="9"/>
  <c r="E13" i="9"/>
  <c r="E26" i="9"/>
  <c r="E15" i="9"/>
  <c r="E16" i="9"/>
  <c r="E40" i="9"/>
  <c r="E23" i="9"/>
  <c r="E27" i="9"/>
  <c r="E17" i="9"/>
  <c r="E5" i="9"/>
  <c r="D6" i="9"/>
  <c r="D18" i="9"/>
  <c r="D7" i="9"/>
  <c r="D19" i="9"/>
  <c r="D31" i="9"/>
  <c r="D8" i="9"/>
  <c r="D20" i="9"/>
  <c r="D32" i="9"/>
  <c r="D9" i="9"/>
  <c r="D21" i="9"/>
  <c r="D33" i="9"/>
  <c r="D10" i="9"/>
  <c r="D22" i="9"/>
  <c r="D34" i="9"/>
  <c r="D11" i="9"/>
  <c r="D23" i="9"/>
  <c r="D35" i="9"/>
  <c r="D12" i="9"/>
  <c r="D24" i="9"/>
  <c r="D36" i="9"/>
  <c r="D13" i="9"/>
  <c r="D25" i="9"/>
  <c r="D37" i="9"/>
  <c r="D14" i="9"/>
  <c r="D26" i="9"/>
  <c r="D38" i="9"/>
  <c r="D15" i="9"/>
  <c r="D27" i="9"/>
  <c r="D39" i="9"/>
  <c r="D16" i="9"/>
  <c r="D28" i="9"/>
  <c r="D40" i="9"/>
  <c r="D17" i="9"/>
  <c r="D29" i="9"/>
  <c r="D30" i="9"/>
  <c r="D5" i="9"/>
  <c r="H27" i="9" a="1"/>
  <c r="H32" i="9" a="1"/>
  <c r="H7" i="9" a="1"/>
  <c r="H36" i="9" a="1"/>
  <c r="H33" i="9" a="1"/>
  <c r="H11" i="9" a="1"/>
  <c r="H13" i="9" a="1"/>
  <c r="H18" i="9" a="1"/>
  <c r="H40" i="9" a="1"/>
  <c r="H19" i="9" a="1"/>
  <c r="H9" i="9" a="1"/>
  <c r="H15" i="9" a="1"/>
  <c r="H24" i="9" a="1"/>
  <c r="H14" i="9" a="1"/>
  <c r="H31" i="9" a="1"/>
  <c r="H16" i="9" a="1"/>
  <c r="H30" i="9" a="1"/>
  <c r="H29" i="9" a="1"/>
  <c r="H21" i="9" a="1"/>
  <c r="H10" i="9" a="1"/>
  <c r="H8" i="9" a="1"/>
  <c r="H22" i="9" a="1"/>
  <c r="H37" i="9" a="1"/>
  <c r="H26" i="9" a="1"/>
  <c r="H28" i="9" a="1"/>
  <c r="H6" i="9" a="1"/>
  <c r="H12" i="9" a="1"/>
  <c r="H39" i="9" a="1"/>
  <c r="H23" i="9" a="1"/>
  <c r="H35" i="9" a="1"/>
  <c r="H34" i="9" a="1"/>
  <c r="H20" i="9" a="1"/>
  <c r="H17" i="9" a="1"/>
  <c r="H25" i="9" a="1"/>
  <c r="H38" i="9" a="1"/>
  <c r="H5" i="9" a="1"/>
  <c r="J21" i="9" l="1"/>
  <c r="K21" i="9"/>
  <c r="L21" i="9" s="1"/>
  <c r="K30" i="9"/>
  <c r="L30" i="9" s="1"/>
  <c r="J30" i="9"/>
  <c r="K31" i="9"/>
  <c r="L31" i="9" s="1"/>
  <c r="J31" i="9"/>
  <c r="J24" i="9"/>
  <c r="K24" i="9"/>
  <c r="L24" i="9" s="1"/>
  <c r="J9" i="9"/>
  <c r="K9" i="9"/>
  <c r="L9" i="9" s="1"/>
  <c r="K40" i="9"/>
  <c r="L40" i="9" s="1"/>
  <c r="J40" i="9"/>
  <c r="J12" i="9"/>
  <c r="K12" i="9"/>
  <c r="L12" i="9" s="1"/>
  <c r="K6" i="9"/>
  <c r="L6" i="9" s="1"/>
  <c r="J6" i="9"/>
  <c r="J28" i="9"/>
  <c r="K28" i="9"/>
  <c r="L28" i="9" s="1"/>
  <c r="J26" i="9"/>
  <c r="K26" i="9"/>
  <c r="L26" i="9" s="1"/>
  <c r="J22" i="9"/>
  <c r="K22" i="9"/>
  <c r="L22" i="9" s="1"/>
  <c r="K8" i="9"/>
  <c r="L8" i="9" s="1"/>
  <c r="J8" i="9"/>
  <c r="J29" i="9"/>
  <c r="K29" i="9"/>
  <c r="L29" i="9" s="1"/>
  <c r="J16" i="9"/>
  <c r="K16" i="9"/>
  <c r="L16" i="9" s="1"/>
  <c r="J14" i="9"/>
  <c r="K14" i="9"/>
  <c r="L14" i="9" s="1"/>
  <c r="J15" i="9"/>
  <c r="K15" i="9"/>
  <c r="L15" i="9" s="1"/>
  <c r="K19" i="9"/>
  <c r="L19" i="9" s="1"/>
  <c r="J19" i="9"/>
  <c r="J18" i="9"/>
  <c r="K18" i="9"/>
  <c r="L18" i="9" s="1"/>
  <c r="K20" i="9"/>
  <c r="L20" i="9" s="1"/>
  <c r="J20" i="9"/>
  <c r="J34" i="9"/>
  <c r="K34" i="9"/>
  <c r="L34" i="9" s="1"/>
  <c r="J35" i="9"/>
  <c r="K35" i="9"/>
  <c r="L35" i="9" s="1"/>
  <c r="J37" i="9"/>
  <c r="K37" i="9"/>
  <c r="L37" i="9" s="1"/>
  <c r="J23" i="9"/>
  <c r="K23" i="9"/>
  <c r="L23" i="9" s="1"/>
  <c r="J10" i="9"/>
  <c r="K10" i="9"/>
  <c r="L10" i="9" s="1"/>
  <c r="K5" i="9"/>
  <c r="L5" i="9" s="1"/>
  <c r="J38" i="9"/>
  <c r="K38" i="9"/>
  <c r="L38" i="9" s="1"/>
  <c r="K25" i="9"/>
  <c r="L25" i="9" s="1"/>
  <c r="J25" i="9"/>
  <c r="J17" i="9"/>
  <c r="K17" i="9"/>
  <c r="L17" i="9" s="1"/>
  <c r="J39" i="9"/>
  <c r="K39" i="9"/>
  <c r="L39" i="9" s="1"/>
  <c r="K13" i="9"/>
  <c r="L13" i="9" s="1"/>
  <c r="J13" i="9"/>
  <c r="J11" i="9"/>
  <c r="K11" i="9"/>
  <c r="L11" i="9" s="1"/>
  <c r="J33" i="9"/>
  <c r="K33" i="9"/>
  <c r="L33" i="9" s="1"/>
  <c r="J36" i="9"/>
  <c r="K36" i="9"/>
  <c r="L36" i="9" s="1"/>
  <c r="K7" i="9"/>
  <c r="L7" i="9" s="1"/>
  <c r="J7" i="9"/>
  <c r="K32" i="9"/>
  <c r="L32" i="9" s="1"/>
  <c r="J32" i="9"/>
  <c r="J27" i="9"/>
  <c r="K27" i="9"/>
  <c r="L27" i="9" s="1"/>
  <c r="J5" i="9"/>
  <c r="H38" i="9"/>
  <c r="H26" i="9"/>
  <c r="H8" i="9"/>
  <c r="H37" i="9"/>
  <c r="H25" i="9"/>
  <c r="H13" i="9"/>
  <c r="H7" i="9"/>
  <c r="H36" i="9"/>
  <c r="H30" i="9"/>
  <c r="H24" i="9"/>
  <c r="H18" i="9"/>
  <c r="H12" i="9"/>
  <c r="H6" i="9"/>
  <c r="H35" i="9"/>
  <c r="H29" i="9"/>
  <c r="H23" i="9"/>
  <c r="H17" i="9"/>
  <c r="H11" i="9"/>
  <c r="H32" i="9"/>
  <c r="H14" i="9"/>
  <c r="H31" i="9"/>
  <c r="H19" i="9"/>
  <c r="H40" i="9"/>
  <c r="H34" i="9"/>
  <c r="H28" i="9"/>
  <c r="H22" i="9"/>
  <c r="H16" i="9"/>
  <c r="H10" i="9"/>
  <c r="H39" i="9"/>
  <c r="H33" i="9"/>
  <c r="H27" i="9"/>
  <c r="H21" i="9"/>
  <c r="H15" i="9"/>
  <c r="H9" i="9"/>
  <c r="H20" i="9"/>
  <c r="H5" i="9"/>
  <c r="H7" i="2"/>
  <c r="I12" i="4"/>
  <c r="H11" i="4"/>
  <c r="E8" i="4"/>
  <c r="D7" i="4"/>
  <c r="C6" i="4"/>
  <c r="I10" i="2"/>
  <c r="E6" i="2"/>
  <c r="D9" i="4"/>
  <c r="I11" i="2"/>
  <c r="D6" i="2"/>
  <c r="E11" i="4"/>
  <c r="C9" i="4"/>
  <c r="I12" i="2"/>
  <c r="E8" i="2"/>
  <c r="C6" i="2"/>
  <c r="D11" i="4"/>
  <c r="E9" i="2"/>
  <c r="C7" i="2"/>
  <c r="D12" i="4"/>
  <c r="D9" i="2"/>
  <c r="C12" i="4"/>
  <c r="H5" i="4"/>
  <c r="H8" i="2"/>
  <c r="E5" i="2"/>
  <c r="H12" i="4"/>
  <c r="E9" i="4"/>
  <c r="D8" i="4"/>
  <c r="C7" i="4"/>
  <c r="H9" i="2"/>
  <c r="D5" i="2"/>
  <c r="E10" i="4"/>
  <c r="C8" i="4"/>
  <c r="H10" i="2"/>
  <c r="E7" i="2"/>
  <c r="C5" i="2"/>
  <c r="D10" i="4"/>
  <c r="H11" i="2"/>
  <c r="D7" i="2"/>
  <c r="E12" i="4"/>
  <c r="C10" i="4"/>
  <c r="H12" i="2"/>
  <c r="D8" i="2"/>
  <c r="C11" i="4"/>
  <c r="E10" i="2"/>
  <c r="C8" i="2"/>
  <c r="D10" i="2"/>
  <c r="C5" i="4"/>
  <c r="H6" i="2"/>
  <c r="H8" i="4"/>
  <c r="H5" i="2"/>
  <c r="C10" i="2"/>
  <c r="I10" i="4"/>
  <c r="E5" i="4"/>
  <c r="D11" i="2"/>
  <c r="C11" i="2"/>
  <c r="H10" i="4"/>
  <c r="H7" i="4"/>
  <c r="D5" i="4"/>
  <c r="E12" i="2"/>
  <c r="H9" i="4"/>
  <c r="E11" i="2"/>
  <c r="E6" i="4"/>
  <c r="D6" i="4"/>
  <c r="D12" i="2"/>
  <c r="C12" i="2"/>
  <c r="C9" i="2"/>
  <c r="E7" i="4"/>
  <c r="H6" i="4"/>
  <c r="I11" i="4"/>
  <c r="E12" i="1"/>
  <c r="D12" i="1"/>
  <c r="E11" i="1"/>
  <c r="C6" i="1"/>
  <c r="H8" i="1"/>
  <c r="C8" i="1"/>
  <c r="E5" i="1"/>
  <c r="C5" i="1"/>
  <c r="H10" i="1"/>
  <c r="D11" i="1"/>
  <c r="C12" i="1"/>
  <c r="C11" i="1"/>
  <c r="H12" i="1"/>
  <c r="C9" i="1"/>
  <c r="C10" i="1"/>
  <c r="H5" i="1"/>
  <c r="I10" i="1"/>
  <c r="H9" i="1"/>
  <c r="I11" i="1"/>
  <c r="I12" i="1"/>
  <c r="E6" i="1"/>
  <c r="D5" i="1"/>
  <c r="E10" i="1"/>
  <c r="E8" i="1"/>
  <c r="D6" i="1"/>
  <c r="D10" i="1"/>
  <c r="D9" i="1"/>
  <c r="H6" i="1"/>
  <c r="H11" i="1"/>
  <c r="E9" i="1"/>
  <c r="D8" i="1"/>
  <c r="H7" i="1"/>
  <c r="E7" i="1"/>
  <c r="C7" i="1"/>
  <c r="D7" i="1"/>
  <c r="D19" i="1" a="1"/>
  <c r="D20" i="2" a="1"/>
  <c r="G19" i="4" a="1"/>
  <c r="G16" i="4" a="1"/>
  <c r="D18" i="1" a="1"/>
  <c r="G17" i="4" a="1"/>
  <c r="D16" i="1" a="1"/>
  <c r="D17" i="2" a="1"/>
  <c r="G15" i="4" a="1"/>
  <c r="D16" i="2" a="1"/>
  <c r="D20" i="1" a="1"/>
  <c r="D19" i="2" a="1"/>
  <c r="G18" i="4" a="1"/>
  <c r="D17" i="1" a="1"/>
  <c r="D18" i="2" a="1"/>
  <c r="G18" i="4" l="1"/>
  <c r="I8" i="4" s="1"/>
  <c r="G19" i="4"/>
  <c r="I9" i="4" s="1"/>
  <c r="M9" i="4" s="1"/>
  <c r="G6" i="5" s="1"/>
  <c r="G17" i="4"/>
  <c r="I7" i="4" s="1"/>
  <c r="J7" i="4" s="1"/>
  <c r="G16" i="4"/>
  <c r="I6" i="4" s="1"/>
  <c r="M6" i="4" s="1"/>
  <c r="G3" i="5" s="1"/>
  <c r="G15" i="4"/>
  <c r="I5" i="4" s="1"/>
  <c r="M5" i="4" s="1"/>
  <c r="G2" i="5" s="1"/>
  <c r="D20" i="2"/>
  <c r="I9" i="2" s="1"/>
  <c r="J9" i="2" s="1"/>
  <c r="D19" i="2"/>
  <c r="I8" i="2" s="1"/>
  <c r="M8" i="2" s="1"/>
  <c r="F5" i="5" s="1"/>
  <c r="D18" i="2"/>
  <c r="I7" i="2" s="1"/>
  <c r="M7" i="2" s="1"/>
  <c r="F4" i="5" s="1"/>
  <c r="D17" i="2"/>
  <c r="I6" i="2" s="1"/>
  <c r="M6" i="2" s="1"/>
  <c r="F3" i="5" s="1"/>
  <c r="D16" i="2"/>
  <c r="I5" i="2" s="1"/>
  <c r="M5" i="2" s="1"/>
  <c r="F2" i="5" s="1"/>
  <c r="D20" i="1"/>
  <c r="I9" i="1" s="1"/>
  <c r="M9" i="1" s="1"/>
  <c r="E6" i="5" s="1"/>
  <c r="D19" i="1"/>
  <c r="I8" i="1" s="1"/>
  <c r="M8" i="1" s="1"/>
  <c r="E5" i="5" s="1"/>
  <c r="D18" i="1"/>
  <c r="I7" i="1" s="1"/>
  <c r="J7" i="1" s="1"/>
  <c r="D17" i="1"/>
  <c r="I6" i="1" s="1"/>
  <c r="J6" i="1" s="1"/>
  <c r="D16" i="1"/>
  <c r="I5" i="1" s="1"/>
  <c r="J5" i="1" s="1"/>
  <c r="J11" i="4"/>
  <c r="M11" i="4"/>
  <c r="G8" i="5" s="1"/>
  <c r="M12" i="1"/>
  <c r="E9" i="5" s="1"/>
  <c r="J12" i="1"/>
  <c r="M10" i="4"/>
  <c r="G7" i="5" s="1"/>
  <c r="J10" i="4"/>
  <c r="M8" i="4"/>
  <c r="G5" i="5" s="1"/>
  <c r="J8" i="4"/>
  <c r="M11" i="1"/>
  <c r="E8" i="5" s="1"/>
  <c r="J11" i="1"/>
  <c r="M10" i="1"/>
  <c r="E7" i="5" s="1"/>
  <c r="J10" i="1"/>
  <c r="M12" i="2"/>
  <c r="F9" i="5" s="1"/>
  <c r="J12" i="2"/>
  <c r="J11" i="2"/>
  <c r="M11" i="2"/>
  <c r="F8" i="5" s="1"/>
  <c r="J10" i="2"/>
  <c r="M10" i="2"/>
  <c r="F7" i="5" s="1"/>
  <c r="M12" i="4"/>
  <c r="G9" i="5" s="1"/>
  <c r="J12" i="4"/>
  <c r="J5" i="4" l="1"/>
  <c r="M5" i="1"/>
  <c r="E2" i="5" s="1"/>
  <c r="M9" i="2"/>
  <c r="F6" i="5" s="1"/>
  <c r="J9" i="4"/>
  <c r="K9" i="4" s="1"/>
  <c r="F17" i="5"/>
  <c r="F19" i="5" s="1"/>
  <c r="J8" i="2"/>
  <c r="L8" i="2" s="1"/>
  <c r="C5" i="5" s="1"/>
  <c r="J6" i="4"/>
  <c r="L6" i="4" s="1"/>
  <c r="D3" i="5" s="1"/>
  <c r="J7" i="2"/>
  <c r="L7" i="2" s="1"/>
  <c r="C4" i="5" s="1"/>
  <c r="J6" i="2"/>
  <c r="L6" i="2" s="1"/>
  <c r="C3" i="5" s="1"/>
  <c r="M6" i="1"/>
  <c r="E3" i="5" s="1"/>
  <c r="J8" i="1"/>
  <c r="L8" i="1" s="1"/>
  <c r="B5" i="5" s="1"/>
  <c r="M7" i="4"/>
  <c r="G4" i="5" s="1"/>
  <c r="G17" i="5" s="1"/>
  <c r="G19" i="5" s="1"/>
  <c r="J5" i="2"/>
  <c r="L5" i="2" s="1"/>
  <c r="C2" i="5" s="1"/>
  <c r="M7" i="1"/>
  <c r="E4" i="5" s="1"/>
  <c r="J9" i="1"/>
  <c r="K9" i="1" s="1"/>
  <c r="C17" i="5"/>
  <c r="C19" i="5" s="1"/>
  <c r="K10" i="4"/>
  <c r="L10" i="4"/>
  <c r="D7" i="5" s="1"/>
  <c r="L7" i="1"/>
  <c r="B4" i="5" s="1"/>
  <c r="K7" i="1"/>
  <c r="K6" i="1"/>
  <c r="L6" i="1"/>
  <c r="B3" i="5" s="1"/>
  <c r="L11" i="4"/>
  <c r="D8" i="5" s="1"/>
  <c r="K11" i="4"/>
  <c r="L12" i="2"/>
  <c r="C9" i="5" s="1"/>
  <c r="K12" i="2"/>
  <c r="L7" i="4"/>
  <c r="D4" i="5" s="1"/>
  <c r="K7" i="4"/>
  <c r="L5" i="4"/>
  <c r="D2" i="5" s="1"/>
  <c r="K5" i="4"/>
  <c r="G18" i="5"/>
  <c r="D18" i="5"/>
  <c r="K12" i="4"/>
  <c r="L12" i="4"/>
  <c r="D9" i="5" s="1"/>
  <c r="L10" i="1"/>
  <c r="B7" i="5" s="1"/>
  <c r="K10" i="1"/>
  <c r="K12" i="1"/>
  <c r="L12" i="1"/>
  <c r="B9" i="5" s="1"/>
  <c r="L11" i="1"/>
  <c r="B8" i="5" s="1"/>
  <c r="K11" i="1"/>
  <c r="K10" i="2"/>
  <c r="L10" i="2"/>
  <c r="C7" i="5" s="1"/>
  <c r="L9" i="2"/>
  <c r="C6" i="5" s="1"/>
  <c r="K9" i="2"/>
  <c r="E18" i="5"/>
  <c r="B18" i="5"/>
  <c r="L8" i="4"/>
  <c r="D5" i="5" s="1"/>
  <c r="K8" i="4"/>
  <c r="L11" i="2"/>
  <c r="C8" i="5" s="1"/>
  <c r="K11" i="2"/>
  <c r="L5" i="1"/>
  <c r="B2" i="5" s="1"/>
  <c r="K5" i="1"/>
  <c r="F18" i="5"/>
  <c r="C18" i="5"/>
  <c r="K8" i="2" l="1"/>
  <c r="K6" i="2"/>
  <c r="K7" i="2"/>
  <c r="B17" i="5"/>
  <c r="B19" i="5" s="1"/>
  <c r="K6" i="4"/>
  <c r="D17" i="5"/>
  <c r="D19" i="5" s="1"/>
  <c r="L9" i="4"/>
  <c r="D6" i="5" s="1"/>
  <c r="D13" i="5" s="1"/>
  <c r="D15" i="5" s="1"/>
  <c r="K8" i="1"/>
  <c r="L9" i="1"/>
  <c r="B6" i="5" s="1"/>
  <c r="B13" i="5" s="1"/>
  <c r="B15" i="5" s="1"/>
  <c r="G13" i="5"/>
  <c r="G15" i="5" s="1"/>
  <c r="K5" i="2"/>
  <c r="E17" i="5"/>
  <c r="E19" i="5" s="1"/>
  <c r="F13" i="5"/>
  <c r="F15" i="5" s="1"/>
  <c r="C13" i="5"/>
  <c r="C15" i="5" s="1"/>
  <c r="B14" i="5"/>
  <c r="E14" i="5"/>
  <c r="G14" i="5"/>
  <c r="D14" i="5"/>
  <c r="F14" i="5"/>
  <c r="C14" i="5"/>
  <c r="E13" i="5" l="1"/>
  <c r="E15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</futureMetadata>
  <cellMetadata count="1">
    <bk>
      <rc t="1" v="0"/>
    </bk>
  </cellMetadata>
  <valueMetadata count="8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</valueMetadata>
</metadata>
</file>

<file path=xl/sharedStrings.xml><?xml version="1.0" encoding="utf-8"?>
<sst xmlns="http://schemas.openxmlformats.org/spreadsheetml/2006/main" count="142" uniqueCount="59">
  <si>
    <t>Snapshot Date</t>
  </si>
  <si>
    <t>2025-10-31</t>
  </si>
  <si>
    <t>Use same date for Date + Effective Date in all formulas</t>
  </si>
  <si>
    <t>Identifier</t>
  </si>
  <si>
    <t>Company</t>
  </si>
  <si>
    <t>Revenue TTM</t>
  </si>
  <si>
    <t>Shares Outstanding</t>
  </si>
  <si>
    <t>Net Debt</t>
  </si>
  <si>
    <t>EBITDA TTM</t>
  </si>
  <si>
    <t>EBITDA NTM</t>
  </si>
  <si>
    <t>Diluted EPS (Analyst Normalized)</t>
  </si>
  <si>
    <t>Market Cap</t>
  </si>
  <si>
    <t>Enterprise Value</t>
  </si>
  <si>
    <t>EV/LTM</t>
  </si>
  <si>
    <t>EV/NTM</t>
  </si>
  <si>
    <t>P/NTM</t>
  </si>
  <si>
    <t>NYS:KVUE</t>
  </si>
  <si>
    <t>Kenvue</t>
  </si>
  <si>
    <t>NYS:PG</t>
  </si>
  <si>
    <t>Procter &amp; Gamble</t>
  </si>
  <si>
    <t>NAS:KMB</t>
  </si>
  <si>
    <t>Kimberly-Clark</t>
  </si>
  <si>
    <t>NYS:CL</t>
  </si>
  <si>
    <t>Colgate-Palmolive</t>
  </si>
  <si>
    <t>NYS:CHD</t>
  </si>
  <si>
    <t>Church &amp; Dwight</t>
  </si>
  <si>
    <t>NYS:ABT</t>
  </si>
  <si>
    <t>Abbott Laboratories</t>
  </si>
  <si>
    <t>NYS:COTY</t>
  </si>
  <si>
    <t>Coty</t>
  </si>
  <si>
    <t>NYS:EPC</t>
  </si>
  <si>
    <t>Edgewell Personal Care</t>
  </si>
  <si>
    <t>2023-05-04</t>
  </si>
  <si>
    <t>Diluted EPS</t>
  </si>
  <si>
    <t>2024-05-04</t>
  </si>
  <si>
    <t>IPO EV/NTM</t>
  </si>
  <si>
    <t>1Y EV/NTM</t>
  </si>
  <si>
    <t>Pre-Deal EV/NTM</t>
  </si>
  <si>
    <t>IPO P/E</t>
  </si>
  <si>
    <t>1Y P/E</t>
  </si>
  <si>
    <t>Pre-Deal P/E</t>
  </si>
  <si>
    <t>Metric</t>
  </si>
  <si>
    <t>IPO (All Comps)</t>
  </si>
  <si>
    <t>1Y (All Comps)</t>
  </si>
  <si>
    <t>Pre-Deal (All Comps)</t>
  </si>
  <si>
    <t>IPO (Core Excl.)</t>
  </si>
  <si>
    <t>1Y (Core Excl.)</t>
  </si>
  <si>
    <t>Pre-Deal (Core Excl.)</t>
  </si>
  <si>
    <t>Peer Median EV/NTM</t>
  </si>
  <si>
    <t>KVUE EV/NTM</t>
  </si>
  <si>
    <t>KVUE Discount to Median</t>
  </si>
  <si>
    <t>Peer Median P/NTM</t>
  </si>
  <si>
    <t>KVUE P/NTM</t>
  </si>
  <si>
    <t>Date</t>
  </si>
  <si>
    <t>KVUE</t>
  </si>
  <si>
    <t>Share Price</t>
  </si>
  <si>
    <t>PE Multiple</t>
  </si>
  <si>
    <t>EV/EBITDA</t>
  </si>
  <si>
    <t>H4sIAAAAAAAEAO3aDWxUVRYA4D5a2lL+KpBCoAsTMdK1pX3zP+W/P9BiSzvrVBALDNPpgw4dOjgzBQtEiLhgxAABFwgQcYVAFwgQMWLECAEDLhAgwgIrrhDYFVZ2lxVWILKZ7r3Tdzpn+u673q6YGFNJKNNOv3PnnHvPve89E6SEhIQW8h/9Sv/r0YX89RunL+ytKwwE6g1VTfOUkKHcVxP0BJtyDJOVYMgXaBhtkk22XCP5I+cYihr94cagMrpBaQwHPf4cg7Oxxu/zlilNVYF6pWF0Q6Pf35X6rjbWHWXdKpvrUoI+j9+30FPjV4o83jpF+53sqsC8cmW+4o++KvZ5w2QY5HeTiJuijiq1KDB3nieoBFNLPaE6l2+h0pMMYrLH36g4Pb5gKCExITF1reRqCoWVublFAb9fiTKh3BKlgQT0wtfxLzWS4OEm8GYaq6vV33KFg76G2TmGuSFvIOj31cRSYsmV6Z8fzkeN3e6xeq02Y77ZosiO/OnTU3d14QwKf4aZpp90JDnVP6ZE7UpDwj3uaTR9evV0OkFp1bsl0tLTf9BXSfTVz7G2dFGl0BEmSOrAE5s7qy1Y7aRHpDV1pks0XXRpJNYrTV3n05RISWWPccDUTk6mf7nqFCVs7EaXnvSQ1IfWKLkbedVrorPSTUZtdstWt2zplkbf8R28owd59YQzEAobp9I3WdQ39aRvugtv6k1e9XEGlWLF46fvsrqNstts7JZOvt+VRnycH+mXsXfs+OUsj1qyyfu8P+G+MRH2jan0H33o1EtTd5F0+NET9B/96I96Mn+UQX+UzvzRAPrdPtDrabDE7Z3VEenzN8ni70zV/9PjSx7TYKP9fSD5K6ts8vPjC2rnNJIE1xrGF06sKi6oqppkNObJxjzauJ93FVus1nx7j0zy7oIJgeBcTzj0Iy4N/kZq/7g+BV2KGaOiM2VMvdtd6PHWk/kxwaf4azNHFSshb9A3j06s9j/sP6r1c7T/fhcpqa/6CXOjausL+slpwlLphnhkge3vBWldb5CPwXovbQUp0WK53Qmp9De70gZxnbydzvrkITo5r6iaJJvjcm62mqRr5FdowqKRDbmZtwrSpKvkNY0edb8Cd6h+LeX8+FqabdKX2G39RNIV7H4B7jCB8Vqjrt1oly5jd82WY9S9hN2L4GaTV8N1xmvNky3UNROXfhkuW4fLFukCxuWv//INwc9j/HPA83TwCn38HAM/i/EzgJs5mTapGbHRjNhkq0U6HefuD9CMnMLuSXDtHNcS5xqNZukz7Dav2kzdE9g9Du5IjuuIq6DDLkufYvdhWgZ1j2H3KLhjOd1DVl1z1DXJsnQEuzOb6uhMPozdT8AtEhivOpNlq/QxduuyNlL3EHY/ArdEfya3jbc1D/lmo/Qhdgfs+RXNw0HsfgBumcDKa82DkeT3fUYeDmD3PXArOW58dzblm6T92C31//kmcfdhdy+4Ls6KNsXlwebIl/bEjXffRZqH3djdBe4UznwwxY3XZrJLzQx3J3Z3gFstsN5i493OcLdh911w3Zw8aOv2DqNuW7H7NrhegfyqHd5klrYw6rYZu5vAnc1xtetiI2NdbMDuenDrOfm1x7kWu0V6i+Guw+5acAMC81ftkyQPaxh9cjV2V4EbEji1qH2HrOM3GXVbid03wF3Aya81Pg+k/77eot2ZV2B3ObiLOHmwxfdfOV96jdF/l2H3VXCXcMZrix+vxSItZdRtCXZfAXeZwHhj7mKGuwi7C8FdIVA3tf/aTNLLjP67ALvzwV0psC7UdWzOl8LYbf7tDOqGsBsEd7VAP1PHS/rvPMb8DWC3Adx1AicqdV04TJK/RbvP12N3DrgbBNaxmgfZIdUx8jAbu7PA3cxxtSfA2hbtCdCL3Rpwtwr0B7WvWx3STEZfd2N3BrjbBM4PsfkwjZGHauy+CO5OgTzE6vYCo25TsDsZ3N2c+aDd56sY+4ULu8+Bu4/j2uP7DsmDk9F3KrFbAe4BjmuJ398cZqmc0SfLsPssuAcFzr8xt5ThlmB3AriHBM5n6jqWjVIxo+8UYbcQ3MMC55LYPj+OUbex2B0D7jHyKp+6xT5/Y5R1ugxZBQ0ef1MobKigV5nkelip/TXemNQFaHdIo9oC3c+atvrod9fGpkkjcaAREOgE50CsPbA5GAvQjl0buKcEJnRsYVsYrhm7JnDPCjRkdeO3GSWZkfA87OaCe15gocQaZw6jYWRj9xlwLwlcIMUuOLIYE28Ydp8G9wpn4mnnw1OMhjwUu0+Ce1VgvOoB02aTDNhVbyEMwe5gcG8IHIhjF8yZLdqNdBB2B4J7U+CCLjbeAYzx9sduBri3BdZFbOPvxxhvX+z2AfeOwIGtdZ7JpG7pcW7rDYne2O0F7j2BhqzOB4tD6sGYD92xmwbuA4H8xi7wU+PWcetBOwW7yeA+Epi/sYN2EqPRJ2K3C7gtnPFqbmdKCYz50BJBbiSiuonSD18oxm6t/TeidR9h93twU/RdxoXMw4g2vw+wex/c7hxX2yf/E9H2yXvYvQtub04etBd0/45o18Ud7P4L3L46Lj5YxW6J/iOinQ+3sfsNuP0F8hu74LgV0fbfm9j9GtxBnDxo++9fI9r1dgO718EdwsmDdh1fY7hXsfsVuEM549XeAPwyoj0IXsHuF+AO47jaGweXsateKF7C7kVwszmu9oL5AmO857H7Obh5HFd7g/UcdtUD/FnsngHXLNAfYgfM04x5dgq7J8G1c+aDdr/4LKLdL05g9zi4Izmu9sLgU0Z+jyE3hT48jT4BpU9HO5+ACj3Wk45CMcaSzMkVU10jxjuLxB+FHMFFWTpr9wF6Nx0X+xPwi4ifR31nifjDkI8xP7Df930L06RDmP8I+JLo8AtcI8omFYr7H2J/3MiE2/TmOvY/AL+M+EY6/KLKqqniAd6P24T3Jp+md9lxgPcgQCXkv6i0WNzfj/3LyvLz9G479veC7+J8AE6B9zA+wG4cYBcEmKJfAY7fzKjATuzvAL8aJlBRuXh+tsfxv6v5J70Lj/l3gXdD/gsKq8T9d7A/5/j1JDJBt2L/bfC9+uuL429hrK/N2N8E/mzd9cXJ/kbG+tqA+fXA1+tmn8O/xcj+OsyvBT6gP/s5/hrG7F+N/VXgh/Sry/HfZFR3JfbfAH8BrK6OPUl+nbFXrsABlkOARZwAnPnzGiPAMrxpZnRumh3fNF+Fqixpa6qlxQZO2S2tVbGoVVmKq+I4479An4GoVaH/K4n0CgRYRgKYoOwdiLCYcXGyCEdYCBFWQAS6L3Qgwss4wrWLvz9Ln4vgCPMhwkqxztfOD8d9guz7tPOF8NIIgr9abOtv58/D/q0Tc6PPSbDfAP46GL+zpAP58WN/76b1GaR31OP8zAF/g9DG1o6vw/ziU3/8lj42wcOfBfzmttZa3oHh1zJ8Lx5+DfhbBTtTuwAzGTPUjT/ADAiwTWxnbudPi6vvw28TSf6rsf8i+DuFTqbt+BcY5Z2C+cnA74b8kOF3oABVjPG7cAGegwD7IABZXx0I4GQssEocoAICHIgGaF1gHQhQzlhhZTjAsxDgoNjZt51fyuiiJbgEE8A/JHh4bxegmNHiivDmOaBz8+z45lkIVTnMvWAwynnmtjsA9MtwozzcbJTGMfrGWFz1MeAf4x1Z9fhRmE+XCu4SfiTmRwB/gj+p9AI44m7nVA8+Rx9f4QA2CHCKuyr0fAv2N/6h+U/0MRb2TeCf5Z6J9XwZ+4NPrk0mfSkP+7ngn+efifUC5DDuS2XjAM9AgEu8Sx49Pgvzs6sz+5PxD8P808Bf4W9segGeYox/KA7wJAS4yr8k1wtgYMygITjAYAhwg3tPR8/PjFthLw2kG8Mg7A8E/ybv5KLHD2CssP6YzwD+Nnfj1/P7MSZoX+z3Af8Ob+PX49MZ86c35nsBf4977tXzezCy3x37aeA/4F4z6/mpjP6Qgv1k8B9xz9V6fhKjPyciv/v/AKqQe4X8Ow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</si>
</sst>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164" fontId="0" fillId="0" borderId="0" xfId="0" applyNumberFormat="1"/>
    <xf numFmtId="9" fontId="0" fillId="0" borderId="0" xfId="1" applyFont="1"/>
    <xf numFmtId="49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pbfunctions.rtd_version2">
      <tp t="s">
        <v>#WAIT</v>
        <stp>0</stp>
        <stp>2048634990928</stp>
        <stp>KVUE</stp>
        <stp>Diluted EPS (Analyst Normalized)</stp>
        <stp>NTM</stp>
        <stp>05/01/2025</stp>
        <stp/>
        <stp>USD</stp>
        <stp/>
        <stp>45778</stp>
        <stp>28</stp>
        <stp>5</stp>
        <stp>KVUEDiluted EPS (Analyst Normalized)NTM05/01/2025USD45778</stp>
        <stp>[PitchBook_Formula_Comps_Model_v2_summary_fixed.xlsx]Sheet1</stp>
        <stp>PBF</stp>
        <tr r="F29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70">
  <a r="1">
    <v t="i">0</v>
  </a>
  <a r="1">
    <v>26.9</v>
  </a>
  <a r="1">
    <v>19.2</v>
  </a>
  <a r="1">
    <v>14.37</v>
  </a>
  <a r="1" c="9">
    <v t="i">0</v>
    <v t="i">1</v>
    <v t="i">2</v>
    <v t="i">3</v>
    <v t="i">4</v>
    <v t="i">7</v>
    <v t="i">8</v>
    <v t="i">9</v>
    <v t="i">10</v>
  </a>
  <a r="1" c="9">
    <v>-99999901</v>
    <v>-99999901</v>
    <v>-99999901</v>
    <v>-99999901</v>
    <v>-99999901</v>
    <v>-99999901</v>
    <v>-99999901</v>
    <v>-99999901</v>
    <v>26.9</v>
  </a>
  <a r="1" c="9">
    <v>18.23</v>
    <v>17.93</v>
    <v>18.170000000000002</v>
    <v>18.25</v>
    <v>18.690000000000001</v>
    <v>18.8</v>
    <v>18.75</v>
    <v>18.489999999999998</v>
    <v>18.63</v>
  </a>
  <a r="1" c="9">
    <v t="i">0</v>
    <v t="i">1</v>
    <v t="i">2</v>
    <v t="i">3</v>
    <v t="i">6</v>
    <v t="i">7</v>
    <v t="i">8</v>
    <v t="i">9</v>
    <v t="i">10</v>
  </a>
  <a r="1" c="9">
    <v>23.74</v>
    <v>23.62</v>
    <v>23.66</v>
    <v>22.97</v>
    <v>22.97</v>
    <v>22.86</v>
    <v>23.07</v>
    <v>23.05</v>
    <v>22.96</v>
  </a>
  <a r="1" c="9">
    <v>19.059999999999999</v>
    <v>19.3</v>
    <v>19.190000000000001</v>
    <v>19.18</v>
    <v>18.940000000000001</v>
    <v>18.920000000000002</v>
    <v>19.14</v>
    <v>19</v>
    <v>18.82</v>
  </a>
  <a r="1" c="7">
    <v t="i">0</v>
    <v t="i">1</v>
    <v t="i">4</v>
    <v t="i">5</v>
    <v t="i">6</v>
    <v t="i">7</v>
    <v t="i">8</v>
  </a>
  <a r="1" c="7">
    <v>21.56</v>
    <v>21.82</v>
    <v>21.96</v>
    <v>21.92</v>
    <v>21.72</v>
    <v>21.75</v>
    <v>21.95</v>
  </a>
  <a r="1" c="8">
    <v t="i">0</v>
    <v t="i">1</v>
    <v t="i">2</v>
    <v t="i">5</v>
    <v t="i">6</v>
    <v t="i">7</v>
    <v t="i">8</v>
    <v t="i">9</v>
  </a>
  <a r="1" c="8">
    <v>22.27</v>
    <v>22.39</v>
    <v>23.32</v>
    <v>23.3</v>
    <v>23.37</v>
    <v>23.22</v>
    <v>23.14</v>
    <v>23.6</v>
  </a>
  <a r="1" c="6">
    <v t="i">0</v>
    <v t="i">3</v>
    <v t="i">4</v>
    <v t="i">5</v>
    <v t="i">6</v>
    <v t="i">7</v>
  </a>
  <a r="1" c="6">
    <v>21.61</v>
    <v>21.19</v>
    <v>20.79</v>
    <v>20.75</v>
    <v>20.54</v>
    <v>20.71</v>
  </a>
  <a r="1" c="7">
    <v>18.66</v>
    <v>18.72</v>
    <v>18.95</v>
    <v>19.010000000000002</v>
    <v>18.77</v>
    <v>19</v>
    <v>19.12</v>
  </a>
  <a r="1" c="7">
    <v>20.84</v>
    <v>20.55</v>
    <v>20.83</v>
    <v>20.64</v>
    <v>20.22</v>
    <v>20.11</v>
    <v>20.079999999999998</v>
  </a>
  <a r="1" c="6">
    <v t="i">0</v>
    <v t="i">3</v>
    <v t="i">4</v>
    <v t="i">5</v>
    <v t="i">6</v>
    <v t="i">10</v>
  </a>
  <a r="1" c="6">
    <v>20.6</v>
    <v>20.65</v>
    <v>20.93</v>
    <v>21.45</v>
    <v>21.46</v>
    <v>21.23</v>
  </a>
  <a r="1" c="7">
    <v t="i">2</v>
    <v t="i">3</v>
    <v t="i">4</v>
    <v t="i">5</v>
    <v t="i">6</v>
    <v t="i">9</v>
    <v t="i">10</v>
  </a>
  <a r="1" c="7">
    <v>23.02</v>
    <v>23.11</v>
    <v>23</v>
    <v>23.13</v>
    <v>23.26</v>
    <v>23.13</v>
    <v>22.78</v>
  </a>
  <a r="1" c="7">
    <v>23.37</v>
    <v>23.1</v>
    <v>23.4</v>
    <v>23.5</v>
    <v>23.7</v>
    <v>23.98</v>
    <v>23.88</v>
  </a>
  <a r="1" c="8">
    <v t="i">1</v>
    <v t="i">2</v>
    <v t="i">3</v>
    <v t="i">4</v>
    <v t="i">5</v>
    <v t="i">8</v>
    <v t="i">9</v>
    <v t="i">10</v>
  </a>
  <a r="1" c="8">
    <v>16.97</v>
    <v>17.239999999999998</v>
    <v>16.86</v>
    <v>16.170000000000002</v>
    <v>16.420000000000002</v>
    <v>16.34</v>
    <v>16.23</v>
    <v>15.85</v>
  </a>
  <a r="1" c="8">
    <v>17.600000000000001</v>
    <v>17.55</v>
    <v>17.66</v>
    <v>17.57</v>
    <v>17.52</v>
    <v>17.239999999999998</v>
    <v>17.239999999999998</v>
    <v>17.38</v>
  </a>
  <a r="1" c="7">
    <v t="i">0</v>
    <v t="i">3</v>
    <v t="i">4</v>
    <v t="i">5</v>
    <v t="i">6</v>
    <v t="i">7</v>
    <v t="i">10</v>
  </a>
  <a r="1" c="7">
    <v>18.53</v>
    <v>18.899999999999999</v>
    <v>18.649999999999999</v>
    <v>18.59</v>
    <v>18.420000000000002</v>
    <v>18.18</v>
    <v>17.95</v>
  </a>
  <a r="1" c="7">
    <v>21.37</v>
    <v>21.19</v>
    <v>21.17</v>
    <v>21.11</v>
    <v>20.88</v>
    <v>20.93</v>
    <v>20.97</v>
  </a>
  <a r="1" c="9">
    <v>20.440000000000001</v>
    <v>20.91</v>
    <v>20.43</v>
    <v>20.75</v>
    <v>20.84</v>
    <v>21.04</v>
    <v>20.87</v>
    <v>20.76</v>
    <v>20.89</v>
  </a>
  <a r="1" c="9">
    <v>22.67</v>
    <v>22.54</v>
    <v>22.5</v>
    <v>22.84</v>
    <v>22.36</v>
    <v>22.17</v>
    <v>21.68</v>
    <v>21.44</v>
    <v>21.59</v>
  </a>
  <a r="1" c="8">
    <v>19.68</v>
    <v>19.98</v>
    <v>19.73</v>
    <v>18.690000000000001</v>
    <v>18.21</v>
    <v>18.64</v>
    <v>18.600000000000001</v>
    <v>18.88</v>
  </a>
  <a r="1" c="8">
    <v>19.579999999999998</v>
    <v>19.37</v>
    <v>19.13</v>
    <v>19.02</v>
    <v>18.86</v>
    <v>19.059999999999999</v>
    <v>18.82</v>
    <v>18.850000000000001</v>
  </a>
  <a r="1" c="9">
    <v>22.93</v>
    <v>22.76</v>
    <v>22.97</v>
    <v>22.64</v>
    <v>22.88</v>
    <v>22.78</v>
    <v>22.89</v>
    <v>22.93</v>
    <v>22.73</v>
  </a>
  <a r="1" c="9">
    <v>22.27</v>
    <v>23.19</v>
    <v>22.94</v>
    <v>22.75</v>
    <v>23.01</v>
    <v>23.11</v>
    <v>23.38</v>
    <v>23.6</v>
    <v>23.96</v>
  </a>
  <a r="1" c="8">
    <v>15.19</v>
    <v>15.09</v>
    <v>15</v>
    <v>15.08</v>
    <v>14.51</v>
    <v>14.31</v>
    <v>14.24</v>
    <v>14.37</v>
  </a>
  <a r="1" c="8">
    <v t="i">0</v>
    <v t="i">1</v>
    <v t="i">2</v>
    <v t="i">3</v>
    <v t="i">4</v>
    <v t="i">8</v>
    <v t="i">9</v>
    <v t="i">10</v>
  </a>
  <a r="1" c="8">
    <v>26.07</v>
    <v>26</v>
    <v>26.45</v>
    <v>26.33</v>
    <v>26.3</v>
    <v>25.73</v>
    <v>25.09</v>
    <v>25.28</v>
  </a>
  <a r="1" c="8">
    <v t="i">0</v>
    <v t="i">1</v>
    <v t="i">3</v>
    <v t="i">6</v>
    <v t="i">7</v>
    <v t="i">8</v>
    <v t="i">9</v>
    <v t="i">10</v>
  </a>
  <a r="1" c="8">
    <v>19.899999999999999</v>
    <v>20.04</v>
    <v>20.25</v>
    <v>20.16</v>
    <v>20.16</v>
    <v>20.079999999999998</v>
    <v>20.440000000000001</v>
    <v>20.69</v>
  </a>
  <a r="1" c="7">
    <v t="i">0</v>
    <v t="i">1</v>
    <v t="i">2</v>
    <v t="i">6</v>
    <v t="i">7</v>
    <v t="i">8</v>
    <v t="i">9</v>
  </a>
  <a r="1" c="7">
    <v>19.88</v>
    <v>19.440000000000001</v>
    <v>19.350000000000001</v>
    <v>19.25</v>
    <v>18.87</v>
    <v>18.989999999999998</v>
    <v>19.3</v>
  </a>
  <a r="1" c="6">
    <v t="i">0</v>
    <v t="i">1</v>
    <v t="i">4</v>
    <v t="i">5</v>
    <v t="i">6</v>
    <v t="i">8</v>
  </a>
  <a r="1" c="6">
    <v>24.09</v>
    <v>24.08</v>
    <v>24.24</v>
    <v>24.12</v>
    <v>24.13</v>
    <v>24.08</v>
  </a>
  <a r="1" c="6">
    <v t="i">0</v>
    <v t="i">1</v>
    <v t="i">5</v>
    <v t="i">6</v>
    <v t="i">7</v>
    <v t="i">8</v>
  </a>
  <a r="1" c="6">
    <v>23.5</v>
    <v>23.73</v>
    <v>23.93</v>
    <v>23.55</v>
    <v>23.58</v>
    <v>23.87</v>
  </a>
  <a r="1" c="6">
    <v t="i">0</v>
    <v t="i">3</v>
    <v t="i">4</v>
    <v t="i">5</v>
    <v t="i">7</v>
    <v t="i">10</v>
  </a>
  <a r="1" c="6">
    <v>16.64</v>
    <v>16.760000000000002</v>
    <v>17.03</v>
    <v>17.22</v>
    <v>17.350000000000001</v>
    <v>17.22</v>
  </a>
  <a r="1" c="8">
    <v>26.2</v>
    <v>26.55</v>
    <v>26.48</v>
    <v>26.15</v>
    <v>25.89</v>
    <v>25.8</v>
    <v>25.99</v>
    <v>26.42</v>
  </a>
  <a r="1" c="5">
    <v t="i">0</v>
    <v t="i">4</v>
    <v t="i">5</v>
    <v t="i">6</v>
    <v t="i">7</v>
  </a>
  <a r="1" c="5">
    <v>21.36</v>
    <v>21.29</v>
    <v>21.55</v>
    <v>21.47</v>
    <v>21.53</v>
  </a>
  <a r="1" c="6">
    <v t="i">1</v>
    <v t="i">2</v>
    <v t="i">4</v>
    <v t="i">5</v>
    <v t="i">8</v>
    <v t="i">9</v>
  </a>
  <a r="1" c="6">
    <v>21.59</v>
    <v>21.56</v>
    <v>21.72</v>
    <v>21.53</v>
    <v>21.18</v>
    <v>21.35</v>
  </a>
  <a r="1" c="7">
    <v t="i">0</v>
    <v t="i">1</v>
    <v t="i">2</v>
    <v t="i">4</v>
    <v t="i">7</v>
    <v t="i">8</v>
    <v t="i">9</v>
  </a>
  <a r="1" c="7">
    <v>17.010000000000002</v>
    <v>17.02</v>
    <v>17.21</v>
    <v>17.190000000000001</v>
    <v>17.190000000000001</v>
    <v>17.329999999999998</v>
    <v>17.25</v>
  </a>
  <a r="1" c="7">
    <v>24.16</v>
    <v>25.12</v>
    <v>24.69</v>
    <v>24.24</v>
    <v>24.4</v>
    <v>23.68</v>
    <v>23.65</v>
  </a>
  <a r="1" c="8">
    <v>20.75</v>
    <v>20.75</v>
    <v>20.78</v>
    <v>21.44</v>
    <v>21.36</v>
    <v>21.31</v>
    <v>21.72</v>
    <v>21.29</v>
  </a>
  <a r="1" c="7">
    <v>17.75</v>
    <v>17.8</v>
    <v>17.64</v>
    <v>17.5</v>
    <v>17.34</v>
    <v>17.2</v>
    <v>17.399999999999999</v>
  </a>
  <a r="1">
    <v>155.51</v>
  </a>
  <a r="1">
    <v>164.46</v>
  </a>
  <a r="1">
    <v>150.37</v>
  </a>
  <a r="1">
    <v>144.41</v>
  </a>
  <a r="1">
    <v>136.09</v>
  </a>
  <a r="1">
    <v>119.71</v>
  </a>
  <a r="1">
    <v>80.790000000000006</v>
  </a>
  <a r="1">
    <v>92.88</v>
  </a>
  <a r="1">
    <v>77.05</v>
  </a>
  <a r="1">
    <v>97.66</v>
  </a>
  <a r="1">
    <v>106.11</v>
  </a>
  <a r="1">
    <v>87.69</v>
  </a>
</arrayData>
</file>

<file path=xl/richData/rdrichvalue.xml><?xml version="1.0" encoding="utf-8"?>
<rvData xmlns="http://schemas.microsoft.com/office/spreadsheetml/2017/richdata" count="136">
  <rv s="0">
    <fb>45050</fb>
    <v>0</v>
  </rv>
  <rv s="0">
    <fb>26.9</fb>
    <v>1</v>
  </rv>
  <rv s="0">
    <fb>45078</fb>
    <v>0</v>
  </rv>
  <rv s="0">
    <fb>25.28</fb>
    <v>1</v>
  </rv>
  <rv s="0">
    <fb>45107</fb>
    <v>0</v>
  </rv>
  <rv s="0">
    <fb>26.42</fb>
    <v>1</v>
  </rv>
  <rv s="0">
    <fb>45139</fb>
    <v>0</v>
  </rv>
  <rv s="0">
    <fb>23.65</fb>
    <v>1</v>
  </rv>
  <rv s="0">
    <fb>45170</fb>
    <v>0</v>
  </rv>
  <rv s="0">
    <fb>22.96</fb>
    <v>1</v>
  </rv>
  <rv s="0">
    <fb>45198</fb>
    <v>0</v>
  </rv>
  <rv s="0">
    <fb>20.079999999999998</fb>
    <v>1</v>
  </rv>
  <rv s="0">
    <fb>45231</fb>
    <v>0</v>
  </rv>
  <rv s="0">
    <fb>18.88</fb>
    <v>1</v>
  </rv>
  <rv s="0">
    <fb>45261</fb>
    <v>0</v>
  </rv>
  <rv s="0">
    <fb>20.69</fb>
    <v>1</v>
  </rv>
  <rv s="0">
    <fb>45289</fb>
    <v>0</v>
  </rv>
  <rv s="0">
    <fb>21.53</fb>
    <v>1</v>
  </rv>
  <rv s="0">
    <fb>45323</fb>
    <v>0</v>
  </rv>
  <rv s="0">
    <fb>20.89</fb>
    <v>1</v>
  </rv>
  <rv s="0">
    <fb>45352</fb>
    <v>0</v>
  </rv>
  <rv s="0">
    <fb>18.82</fb>
    <v>1</v>
  </rv>
  <rv s="0">
    <fb>45383</fb>
    <v>0</v>
  </rv>
  <rv s="0">
    <fb>21.23</fb>
    <v>1</v>
  </rv>
  <rv s="0">
    <fb>45413</fb>
    <v>0</v>
  </rv>
  <rv s="0">
    <fb>18.850000000000001</fb>
    <v>1</v>
  </rv>
  <rv s="0">
    <fb>45443</fb>
    <v>0</v>
  </rv>
  <rv s="0">
    <fb>19.3</fb>
    <v>1</v>
  </rv>
  <rv s="0">
    <fb>45474</fb>
    <v>0</v>
  </rv>
  <rv s="0">
    <fb>17.95</fb>
    <v>1</v>
  </rv>
  <rv s="0">
    <fb>45505</fb>
    <v>0</v>
  </rv>
  <rv s="0">
    <fb>18.63</fb>
    <v>1</v>
  </rv>
  <rv s="0">
    <fb>45534</fb>
    <v>0</v>
  </rv>
  <rv s="0">
    <fb>21.95</fb>
    <v>1</v>
  </rv>
  <rv s="0">
    <fb>45566</fb>
    <v>0</v>
  </rv>
  <rv s="0">
    <fb>22.78</fb>
    <v>1</v>
  </rv>
  <rv s="0">
    <fb>45597</fb>
    <v>0</v>
  </rv>
  <rv s="0">
    <fb>22.73</fb>
    <v>1</v>
  </rv>
  <rv s="0">
    <fb>45625</fb>
    <v>0</v>
  </rv>
  <rv s="0">
    <fb>24.08</fb>
    <v>1</v>
  </rv>
  <rv s="0">
    <fb>45657</fb>
    <v>0</v>
  </rv>
  <rv s="0">
    <fb>21.35</fb>
    <v>1</v>
  </rv>
  <rv s="0">
    <fb>45688</fb>
    <v>0</v>
  </rv>
  <rv s="0">
    <fb>21.29</fb>
    <v>1</v>
  </rv>
  <rv s="0">
    <fb>45716</fb>
    <v>0</v>
  </rv>
  <rv s="0">
    <fb>23.6</fb>
    <v>1</v>
  </rv>
  <rv s="0">
    <fb>45748</fb>
    <v>0</v>
  </rv>
  <rv s="0">
    <fb>23.88</fb>
    <v>1</v>
  </rv>
  <rv s="0">
    <fb>45778</fb>
    <v>0</v>
  </rv>
  <rv s="0">
    <fb>23.96</fb>
    <v>1</v>
  </rv>
  <rv s="0">
    <fb>45807</fb>
    <v>0</v>
  </rv>
  <rv s="0">
    <fb>23.87</fb>
    <v>1</v>
  </rv>
  <rv s="0">
    <fb>45839</fb>
    <v>0</v>
  </rv>
  <rv s="0">
    <fb>20.97</fb>
    <v>1</v>
  </rv>
  <rv s="0">
    <fb>45870</fb>
    <v>0</v>
  </rv>
  <rv s="0">
    <fb>21.59</fb>
    <v>1</v>
  </rv>
  <rv s="0">
    <fb>45898</fb>
    <v>0</v>
  </rv>
  <rv s="0">
    <fb>20.71</fb>
    <v>1</v>
  </rv>
  <rv s="0">
    <fb>45931</fb>
    <v>0</v>
  </rv>
  <rv s="0">
    <fb>15.85</fb>
    <v>1</v>
  </rv>
  <rv s="0">
    <fb>45961</fb>
    <v>0</v>
  </rv>
  <rv s="0">
    <fb>14.37</fb>
    <v>1</v>
  </rv>
  <rv s="0">
    <fb>45992</fb>
    <v>0</v>
  </rv>
  <rv s="0">
    <fb>17.22</fb>
    <v>1</v>
  </rv>
  <rv s="0">
    <fb>46022</fb>
    <v>0</v>
  </rv>
  <rv s="0">
    <fb>17.25</fb>
    <v>1</v>
  </rv>
  <rv s="0">
    <fb>46052</fb>
    <v>0</v>
  </rv>
  <rv s="0">
    <fb>17.399999999999999</fb>
    <v>1</v>
  </rv>
  <rv s="0">
    <fb>46080</fb>
    <v>0</v>
  </rv>
  <rv s="0">
    <fb>19.12</fb>
    <v>1</v>
  </rv>
  <rv s="0">
    <fb>46113</fb>
    <v>0</v>
  </rv>
  <rv s="0">
    <fb>17.38</fb>
    <v>1</v>
  </rv>
  <rv s="0">
    <fb>155.51</fb>
    <v>1</v>
  </rv>
  <rv s="0">
    <fb>144.41</fb>
    <v>1</v>
  </rv>
  <rv s="0">
    <fb>80.790000000000006</fb>
    <v>1</v>
  </rv>
  <rv s="0">
    <fb>97.66</fb>
    <v>1</v>
  </rv>
  <rv s="0">
    <fb>19.2</fb>
    <v>1</v>
  </rv>
  <rv s="0">
    <fb>164.46</fb>
    <v>1</v>
  </rv>
  <rv s="0">
    <fb>136.09</fb>
    <v>1</v>
  </rv>
  <rv s="0">
    <fb>92.88</fb>
    <v>1</v>
  </rv>
  <rv s="0">
    <fb>106.11</fb>
    <v>1</v>
  </rv>
  <rv s="0">
    <fb>150.37</fb>
    <v>1</v>
  </rv>
  <rv s="0">
    <fb>119.71</fb>
    <v>1</v>
  </rv>
  <rv s="0">
    <fb>77.05</fb>
    <v>1</v>
  </rv>
  <rv s="0">
    <fb>87.69</fb>
    <v>1</v>
  </rv>
  <rv s="1">
    <v>2</v>
    <v>KVUE</v>
    <v>Daily</v>
    <v>45050</v>
    <v>45050</v>
    <v>0</v>
    <v>1</v>
    <v>638187552000000000,639109247932716637,0</v>
    <v>0</v>
    <v>c8ki6h</v>
    <v>XNYS:KVUE</v>
    <v>1</v>
  </rv>
  <rv s="1">
    <v>2</v>
    <v>KVUE</v>
    <v>Daily</v>
    <v>45415</v>
    <v>45416</v>
    <v>0</v>
    <v>1</v>
    <v>638502912000000000,639109249424794162,0</v>
    <v>0</v>
    <v>c8ki6h</v>
    <v>XNYS:KVUE</v>
    <v>2</v>
  </rv>
  <rv s="1">
    <v>2</v>
    <v>KVUE</v>
    <v>Daily</v>
    <v>45961</v>
    <v>45961</v>
    <v>0</v>
    <v>1</v>
    <v>638974656000000000,639109249813451558,0</v>
    <v>0</v>
    <v>c8ki6h</v>
    <v>XNYS:KVUE</v>
    <v>3</v>
  </rv>
  <rv s="1">
    <v>2</v>
    <v>KVUE</v>
    <v>Daily</v>
    <v>45040</v>
    <v>45050</v>
    <v>0</v>
    <v>1</v>
    <v>638187552000000000,639115163390420986,0</v>
    <v>4</v>
    <v>c8ki6h</v>
    <v>XNYS:KVUE</v>
    <v>5</v>
  </rv>
  <rv s="1">
    <v>2</v>
    <v>KVUE</v>
    <v>Daily</v>
    <v>45495</v>
    <v>45505</v>
    <v>0</v>
    <v>1</v>
    <v>638580672000000000,639115163662575863,0</v>
    <v>4</v>
    <v>c8ki6h</v>
    <v>XNYS:KVUE</v>
    <v>6</v>
  </rv>
  <rv s="1">
    <v>2</v>
    <v>KVUE</v>
    <v>Daily</v>
    <v>45160</v>
    <v>45170</v>
    <v>0</v>
    <v>1</v>
    <v>638291232000000000,639115163663252887,0</v>
    <v>7</v>
    <v>c8ki6h</v>
    <v>XNYS:KVUE</v>
    <v>8</v>
  </rv>
  <rv s="1">
    <v>2</v>
    <v>KVUE</v>
    <v>Daily</v>
    <v>45342</v>
    <v>45352</v>
    <v>0</v>
    <v>1</v>
    <v>638448480000000000,639115163663919960,0</v>
    <v>7</v>
    <v>c8ki6h</v>
    <v>XNYS:KVUE</v>
    <v>9</v>
  </rv>
  <rv s="1">
    <v>2</v>
    <v>KVUE</v>
    <v>Daily</v>
    <v>45526</v>
    <v>45536</v>
    <v>0</v>
    <v>1</v>
    <v>638605728000000000,639115163664600765,0</v>
    <v>10</v>
    <v>c8ki6h</v>
    <v>XNYS:KVUE</v>
    <v>11</v>
  </rv>
  <rv s="1">
    <v>2</v>
    <v>KVUE</v>
    <v>Daily</v>
    <v>45707</v>
    <v>45717</v>
    <v>0</v>
    <v>1</v>
    <v>638762976000000000,639115163665267820,0</v>
    <v>12</v>
    <v>c8ki6h</v>
    <v>XNYS:KVUE</v>
    <v>13</v>
  </rv>
  <rv s="1">
    <v>2</v>
    <v>KVUE</v>
    <v>Daily</v>
    <v>45891</v>
    <v>45901</v>
    <v>0</v>
    <v>1</v>
    <v>638920224000000000,639115163665946878,0</v>
    <v>14</v>
    <v>c8ki6h</v>
    <v>XNYS:KVUE</v>
    <v>15</v>
  </rv>
  <rv s="1">
    <v>2</v>
    <v>KVUE</v>
    <v>Daily</v>
    <v>46072</v>
    <v>46082</v>
    <v>0</v>
    <v>1</v>
    <v>639077472000000000,639115163666613926,0</v>
    <v>10</v>
    <v>c8ki6h</v>
    <v>XNYS:KVUE</v>
    <v>16</v>
  </rv>
  <rv s="1">
    <v>2</v>
    <v>KVUE</v>
    <v>Daily</v>
    <v>45190</v>
    <v>45200</v>
    <v>0</v>
    <v>1</v>
    <v>638315424000000000,639115163667290967,0</v>
    <v>10</v>
    <v>c8ki6h</v>
    <v>XNYS:KVUE</v>
    <v>17</v>
  </rv>
  <rv s="1">
    <v>2</v>
    <v>KVUE</v>
    <v>Daily</v>
    <v>45373</v>
    <v>45383</v>
    <v>0</v>
    <v>1</v>
    <v>638475264000000000,639115163667962197,0</v>
    <v>18</v>
    <v>c8ki6h</v>
    <v>XNYS:KVUE</v>
    <v>19</v>
  </rv>
  <rv s="1">
    <v>2</v>
    <v>KVUE</v>
    <v>Daily</v>
    <v>45556</v>
    <v>45566</v>
    <v>0</v>
    <v>1</v>
    <v>638633376000000000,639115163668635073,0</v>
    <v>20</v>
    <v>c8ki6h</v>
    <v>XNYS:KVUE</v>
    <v>21</v>
  </rv>
  <rv s="1">
    <v>2</v>
    <v>KVUE</v>
    <v>Daily</v>
    <v>45738</v>
    <v>45748</v>
    <v>0</v>
    <v>1</v>
    <v>638790624000000000,639115163663206874,0</v>
    <v>20</v>
    <v>c8ki6h</v>
    <v>XNYS:KVUE</v>
    <v>22</v>
  </rv>
  <rv s="1">
    <v>2</v>
    <v>KVUE</v>
    <v>Daily</v>
    <v>45921</v>
    <v>45931</v>
    <v>0</v>
    <v>1</v>
    <v>638948736000000000,639115163663880138,0</v>
    <v>23</v>
    <v>c8ki6h</v>
    <v>XNYS:KVUE</v>
    <v>24</v>
  </rv>
  <rv s="1">
    <v>2</v>
    <v>KVUE</v>
    <v>Daily</v>
    <v>46103</v>
    <v>46113</v>
    <v>0</v>
    <v>1</v>
    <v>639105984000000000,639115163664557159,0</v>
    <v>23</v>
    <v>c8ki6h</v>
    <v>XNYS:KVUE</v>
    <v>25</v>
  </rv>
  <rv s="1">
    <v>2</v>
    <v>KVUE</v>
    <v>Daily</v>
    <v>45464</v>
    <v>45474</v>
    <v>0</v>
    <v>1</v>
    <v>638553888000000000,639115163665229998,0</v>
    <v>26</v>
    <v>c8ki6h</v>
    <v>XNYS:KVUE</v>
    <v>27</v>
  </rv>
  <rv s="1">
    <v>2</v>
    <v>KVUE</v>
    <v>Daily</v>
    <v>45829</v>
    <v>45839</v>
    <v>0</v>
    <v>1</v>
    <v>638869248000000000,639115163665907030,0</v>
    <v>20</v>
    <v>c8ki6h</v>
    <v>XNYS:KVUE</v>
    <v>28</v>
  </rv>
  <rv s="1">
    <v>2</v>
    <v>KVUE</v>
    <v>Daily</v>
    <v>45313</v>
    <v>45323</v>
    <v>0</v>
    <v>1</v>
    <v>638423424000000000,639115163666578277,0</v>
    <v>4</v>
    <v>c8ki6h</v>
    <v>XNYS:KVUE</v>
    <v>29</v>
  </rv>
  <rv s="1">
    <v>2</v>
    <v>KVUE</v>
    <v>Daily</v>
    <v>45860</v>
    <v>45870</v>
    <v>0</v>
    <v>1</v>
    <v>638896032000000000,639115163667261092,0</v>
    <v>7</v>
    <v>c8ki6h</v>
    <v>XNYS:KVUE</v>
    <v>30</v>
  </rv>
  <rv s="1">
    <v>2</v>
    <v>KVUE</v>
    <v>Daily</v>
    <v>45221</v>
    <v>45231</v>
    <v>0</v>
    <v>1</v>
    <v>638343936000000000,639115163667938130,0</v>
    <v>23</v>
    <v>c8ki6h</v>
    <v>XNYS:KVUE</v>
    <v>31</v>
  </rv>
  <rv s="1">
    <v>2</v>
    <v>KVUE</v>
    <v>Daily</v>
    <v>45403</v>
    <v>45413</v>
    <v>0</v>
    <v>1</v>
    <v>638501184000000000,639115163668609351,0</v>
    <v>23</v>
    <v>c8ki6h</v>
    <v>XNYS:KVUE</v>
    <v>32</v>
  </rv>
  <rv s="1">
    <v>2</v>
    <v>KVUE</v>
    <v>Daily</v>
    <v>45587</v>
    <v>45597</v>
    <v>0</v>
    <v>1</v>
    <v>638660160000000000,639115163669286382,0</v>
    <v>7</v>
    <v>c8ki6h</v>
    <v>XNYS:KVUE</v>
    <v>33</v>
  </rv>
  <rv s="1">
    <v>2</v>
    <v>KVUE</v>
    <v>Daily</v>
    <v>45768</v>
    <v>45778</v>
    <v>0</v>
    <v>1</v>
    <v>638816544000000000,639115163663208869,0</v>
    <v>4</v>
    <v>c8ki6h</v>
    <v>XNYS:KVUE</v>
    <v>34</v>
  </rv>
  <rv s="1">
    <v>2</v>
    <v>KVUE</v>
    <v>Daily</v>
    <v>45952</v>
    <v>45962</v>
    <v>0</v>
    <v>1</v>
    <v>638974656000000000,639115163663883900,0</v>
    <v>12</v>
    <v>c8ki6h</v>
    <v>XNYS:KVUE</v>
    <v>35</v>
  </rv>
  <rv s="1">
    <v>2</v>
    <v>KVUE</v>
    <v>Daily</v>
    <v>45068</v>
    <v>45078</v>
    <v>0</v>
    <v>1</v>
    <v>638211744000000000,639115163664552972,0</v>
    <v>36</v>
    <v>c8ki6h</v>
    <v>XNYS:KVUE</v>
    <v>37</v>
  </rv>
  <rv s="1">
    <v>2</v>
    <v>KVUE</v>
    <v>Daily</v>
    <v>45251</v>
    <v>45261</v>
    <v>0</v>
    <v>1</v>
    <v>638369856000000000,639115163665229998,0</v>
    <v>38</v>
    <v>c8ki6h</v>
    <v>XNYS:KVUE</v>
    <v>39</v>
  </rv>
  <rv s="1">
    <v>2</v>
    <v>KVUE</v>
    <v>Daily</v>
    <v>45434</v>
    <v>45444</v>
    <v>0</v>
    <v>1</v>
    <v>638527104000000000,639115163665901238,0</v>
    <v>40</v>
    <v>c8ki6h</v>
    <v>XNYS:KVUE</v>
    <v>41</v>
  </rv>
  <rv s="1">
    <v>2</v>
    <v>KVUE</v>
    <v>Daily</v>
    <v>45617</v>
    <v>45627</v>
    <v>0</v>
    <v>1</v>
    <v>638684352000000000,639115163666574100,0</v>
    <v>42</v>
    <v>c8ki6h</v>
    <v>XNYS:KVUE</v>
    <v>43</v>
  </rv>
  <rv s="1">
    <v>2</v>
    <v>KVUE</v>
    <v>Daily</v>
    <v>45799</v>
    <v>45809</v>
    <v>0</v>
    <v>1</v>
    <v>638841600000000000,639115163667251134,0</v>
    <v>44</v>
    <v>c8ki6h</v>
    <v>XNYS:KVUE</v>
    <v>45</v>
  </rv>
  <rv s="1">
    <v>2</v>
    <v>KVUE</v>
    <v>Daily</v>
    <v>45982</v>
    <v>45992</v>
    <v>0</v>
    <v>1</v>
    <v>639001440000000000,639115163667918225,0</v>
    <v>46</v>
    <v>c8ki6h</v>
    <v>XNYS:KVUE</v>
    <v>47</v>
  </rv>
  <rv s="1">
    <v>2</v>
    <v>KVUE</v>
    <v>Daily</v>
    <v>45098</v>
    <v>45108</v>
    <v>0</v>
    <v>1</v>
    <v>638236800000000000,639115163668589438,0</v>
    <v>12</v>
    <v>c8ki6h</v>
    <v>XNYS:KVUE</v>
    <v>48</v>
  </rv>
  <rv s="1">
    <v>2</v>
    <v>KVUE</v>
    <v>Daily</v>
    <v>45282</v>
    <v>45292</v>
    <v>0</v>
    <v>1</v>
    <v>638394048000000000,639115163669270235,0</v>
    <v>49</v>
    <v>c8ki6h</v>
    <v>XNYS:KVUE</v>
    <v>50</v>
  </rv>
  <rv s="1">
    <v>2</v>
    <v>KVUE</v>
    <v>Daily</v>
    <v>45648</v>
    <v>45658</v>
    <v>0</v>
    <v>1</v>
    <v>638712000000000000,639115163663206874,0</v>
    <v>51</v>
    <v>c8ki6h</v>
    <v>XNYS:KVUE</v>
    <v>52</v>
  </rv>
  <rv s="1">
    <v>2</v>
    <v>KVUE</v>
    <v>Daily</v>
    <v>46013</v>
    <v>46023</v>
    <v>0</v>
    <v>1</v>
    <v>639027360000000000,639115163663883900,0</v>
    <v>53</v>
    <v>c8ki6h</v>
    <v>XNYS:KVUE</v>
    <v>54</v>
  </rv>
  <rv s="1">
    <v>2</v>
    <v>KVUE</v>
    <v>Daily</v>
    <v>45129</v>
    <v>45139</v>
    <v>0</v>
    <v>1</v>
    <v>638264448000000000,639115163664550978,0</v>
    <v>20</v>
    <v>c8ki6h</v>
    <v>XNYS:KVUE</v>
    <v>55</v>
  </rv>
  <rv s="1">
    <v>2</v>
    <v>KVUE</v>
    <v>Daily</v>
    <v>45679</v>
    <v>45689</v>
    <v>0</v>
    <v>1</v>
    <v>638738784000000000,639115163665227994,0</v>
    <v>12</v>
    <v>c8ki6h</v>
    <v>XNYS:KVUE</v>
    <v>56</v>
  </rv>
  <rv s="1">
    <v>2</v>
    <v>KVUE</v>
    <v>Daily</v>
    <v>46044</v>
    <v>46054</v>
    <v>0</v>
    <v>1</v>
    <v>639053280000000000,639115163665905019,0</v>
    <v>10</v>
    <v>c8ki6h</v>
    <v>XNYS:KVUE</v>
    <v>57</v>
  </rv>
  <rv s="1">
    <v>2</v>
    <v>PG</v>
    <v>Daily</v>
    <v>45050</v>
    <v>45050</v>
    <v>0</v>
    <v>1</v>
    <v>638187552000000000,639109248350621641,0</v>
    <v>0</v>
    <v>a1zsjc</v>
    <v>XNYS:PG</v>
    <v>58</v>
  </rv>
  <rv s="1">
    <v>2</v>
    <v>PG</v>
    <v>Daily</v>
    <v>45415</v>
    <v>45416</v>
    <v>0</v>
    <v>1</v>
    <v>638502912000000000,639109249453846571,0</v>
    <v>0</v>
    <v>a1zsjc</v>
    <v>XNYS:PG</v>
    <v>59</v>
  </rv>
  <rv s="1">
    <v>2</v>
    <v>PG</v>
    <v>Daily</v>
    <v>45961</v>
    <v>45961</v>
    <v>0</v>
    <v>1</v>
    <v>638974656000000000,639109249814134323,0</v>
    <v>0</v>
    <v>a1zsjc</v>
    <v>XNYS:PG</v>
    <v>60</v>
  </rv>
  <rv s="1">
    <v>2</v>
    <v>KMB</v>
    <v>Daily</v>
    <v>45050</v>
    <v>45050</v>
    <v>0</v>
    <v>1</v>
    <v>638187552000000000,639109248461044901,0</v>
    <v>0</v>
    <v>a1wjz2</v>
    <v>XNAS:KMB</v>
    <v>61</v>
  </rv>
  <rv s="1">
    <v>2</v>
    <v>KMB</v>
    <v>Daily</v>
    <v>45415</v>
    <v>45416</v>
    <v>0</v>
    <v>1</v>
    <v>638502912000000000,639109249489794024,0</v>
    <v>0</v>
    <v>a1wjz2</v>
    <v>XNAS:KMB</v>
    <v>62</v>
  </rv>
  <rv s="1">
    <v>2</v>
    <v>KMB</v>
    <v>Daily</v>
    <v>45961</v>
    <v>45961</v>
    <v>0</v>
    <v>1</v>
    <v>638974656000000000,639109249812756210,0</v>
    <v>0</v>
    <v>a1wjz2</v>
    <v>XNAS:KMB</v>
    <v>63</v>
  </rv>
  <rv s="1">
    <v>2</v>
    <v>CL</v>
    <v>Daily</v>
    <v>45050</v>
    <v>45050</v>
    <v>0</v>
    <v>1</v>
    <v>638187552000000000,639109248526045620,0</v>
    <v>0</v>
    <v>a1pshw</v>
    <v>XNYS:CL</v>
    <v>64</v>
  </rv>
  <rv s="1">
    <v>2</v>
    <v>CL</v>
    <v>Daily</v>
    <v>45415</v>
    <v>45416</v>
    <v>0</v>
    <v>1</v>
    <v>638502912000000000,639109249524681752,0</v>
    <v>0</v>
    <v>a1pshw</v>
    <v>XNYS:CL</v>
    <v>65</v>
  </rv>
  <rv s="1">
    <v>2</v>
    <v>CL</v>
    <v>Daily</v>
    <v>45961</v>
    <v>45961</v>
    <v>0</v>
    <v>1</v>
    <v>638974656000000000,639109249811642751,0</v>
    <v>0</v>
    <v>a1pshw</v>
    <v>XNYS:CL</v>
    <v>66</v>
  </rv>
  <rv s="1">
    <v>2</v>
    <v>CHD</v>
    <v>Daily</v>
    <v>45050</v>
    <v>45050</v>
    <v>0</v>
    <v>1</v>
    <v>638187552000000000,639109248582549802,0</v>
    <v>0</v>
    <v>a1pl8m</v>
    <v>XNYS:CHD</v>
    <v>67</v>
  </rv>
  <rv s="1">
    <v>2</v>
    <v>CHD</v>
    <v>Daily</v>
    <v>45415</v>
    <v>45416</v>
    <v>0</v>
    <v>1</v>
    <v>638502912000000000,639109249552754513,0</v>
    <v>0</v>
    <v>a1pl8m</v>
    <v>XNYS:CHD</v>
    <v>68</v>
  </rv>
  <rv s="1">
    <v>2</v>
    <v>CHD</v>
    <v>Daily</v>
    <v>45961</v>
    <v>45961</v>
    <v>0</v>
    <v>1</v>
    <v>638974656000000000,639109249810961087,0</v>
    <v>0</v>
    <v>a1pl8m</v>
    <v>XNYS:CHD</v>
    <v>69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1"/>
    <rSty dxfid="0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BF30-93F3-4EC3-86B0-DBCD827F0267}">
  <dimension ref="A1"/>
  <sheetViews>
    <sheetView workbookViewId="0"/>
  </sheetViews>
  <sheetFormatPr defaultRowHeight="14.5" x14ac:dyDescent="0.35"/>
  <sheetData>
    <row r="1" spans="1:1" x14ac:dyDescent="0.35">
      <c r="A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A5E3-99E1-449D-B976-40AA0FCFE2E5}">
  <dimension ref="A1:L40"/>
  <sheetViews>
    <sheetView tabSelected="1" topLeftCell="A15" zoomScale="85" zoomScaleNormal="78" workbookViewId="0">
      <selection activeCell="N24" sqref="N24"/>
    </sheetView>
  </sheetViews>
  <sheetFormatPr defaultRowHeight="14.5" x14ac:dyDescent="0.35"/>
  <cols>
    <col min="1" max="1" width="14.1796875" customWidth="1"/>
    <col min="2" max="2" width="18" customWidth="1"/>
    <col min="3" max="3" width="16.1796875" customWidth="1"/>
    <col min="4" max="4" width="15.81640625" customWidth="1"/>
    <col min="5" max="5" width="16.453125" customWidth="1"/>
    <col min="6" max="6" width="12.1796875" customWidth="1"/>
    <col min="7" max="7" width="18.453125" bestFit="1" customWidth="1"/>
    <col min="8" max="8" width="11.26953125" bestFit="1" customWidth="1"/>
    <col min="9" max="9" width="13.54296875" customWidth="1"/>
    <col min="10" max="10" width="14.81640625" bestFit="1" customWidth="1"/>
    <col min="11" max="11" width="20.54296875" bestFit="1" customWidth="1"/>
    <col min="12" max="12" width="14.81640625" bestFit="1" customWidth="1"/>
  </cols>
  <sheetData>
    <row r="1" spans="1:12" x14ac:dyDescent="0.35">
      <c r="A1" t="s">
        <v>0</v>
      </c>
      <c r="B1" t="s">
        <v>32</v>
      </c>
      <c r="C1" t="s">
        <v>54</v>
      </c>
    </row>
    <row r="2" spans="1:12" x14ac:dyDescent="0.35">
      <c r="A2" s="1" t="s">
        <v>2</v>
      </c>
    </row>
    <row r="4" spans="1:12" x14ac:dyDescent="0.35">
      <c r="A4" s="2" t="s">
        <v>53</v>
      </c>
      <c r="B4" s="2" t="s">
        <v>5</v>
      </c>
      <c r="C4" s="2" t="s">
        <v>7</v>
      </c>
      <c r="D4" s="2" t="s">
        <v>8</v>
      </c>
      <c r="E4" s="2" t="s">
        <v>9</v>
      </c>
      <c r="F4" s="2" t="s">
        <v>33</v>
      </c>
      <c r="G4" s="2" t="s">
        <v>6</v>
      </c>
      <c r="H4" s="2" t="s">
        <v>53</v>
      </c>
      <c r="I4" s="2" t="s">
        <v>55</v>
      </c>
      <c r="J4" s="2" t="s">
        <v>56</v>
      </c>
      <c r="K4" s="2" t="s">
        <v>12</v>
      </c>
      <c r="L4" s="2" t="s">
        <v>57</v>
      </c>
    </row>
    <row r="5" spans="1:12" x14ac:dyDescent="0.35">
      <c r="A5" s="7" t="s">
        <v>32</v>
      </c>
      <c r="B5">
        <f>_xll.PBF($C$1,"Total Revenue","TTM",$A5,"","USD","",$A5)</f>
        <v>14950000000</v>
      </c>
      <c r="C5">
        <f>_xll.PBF($C$1,"Net Debt","TTM",$A5,"","USD","",$A5)</f>
        <v>-1115000000</v>
      </c>
      <c r="D5">
        <f>_xll.PBF($C$1,"Adjusted EBITDA","TTM",$A5,"","USD","",$A5)</f>
        <v>3606000000</v>
      </c>
      <c r="E5">
        <f>_xll.PBF($C$1,"Adjusted EBITDA","NTM",$A5,"","USD","",$A5)</f>
        <v>3606000000</v>
      </c>
      <c r="F5">
        <f>_xll.PBF($C$1,"Diluted EPS (Analyst Normalized)","NTM",$A5,"","USD","",$A5)</f>
        <v>0.93</v>
      </c>
      <c r="G5">
        <f>_xll.PBF($C$1,"Diluted Weighted Average Shares Outstanding","TTM",$A5,"","USD","",$A5)</f>
        <v>1888972560</v>
      </c>
      <c r="H5" cm="1" vm="1">
        <f t="array" aca="1" ref="H5:I5" ca="1">_xlfn.LET(
    _xlpm.data, _xlfn.STOCKHISTORY("KVUE",$A5-10,$A5,0,0,0,1),
    INDEX(_xlpm.data,ROWS(_xlpm.data),0)
)</f>
        <v>45050</v>
      </c>
      <c r="I5" vm="2">
        <f ca="1"/>
        <v>26.9</v>
      </c>
      <c r="J5">
        <f ca="1">I5/F5</f>
        <v>28.924731182795696</v>
      </c>
      <c r="K5">
        <f ca="1">(I5*G5)+C5</f>
        <v>49698361864</v>
      </c>
      <c r="L5">
        <f ca="1">K5/D5</f>
        <v>13.782130300610094</v>
      </c>
    </row>
    <row r="6" spans="1:12" x14ac:dyDescent="0.35">
      <c r="A6" s="7">
        <v>45078</v>
      </c>
      <c r="B6">
        <f>_xll.PBF($C$1,"Total Revenue","TTM",$A6,"","USD","",$A6)</f>
        <v>14950000000</v>
      </c>
      <c r="C6">
        <f>_xll.PBF($C$1,"Net Debt","TTM",$A6,"","USD","",$A6)</f>
        <v>-1115000000</v>
      </c>
      <c r="D6">
        <f>_xll.PBF($C$1,"Adjusted EBITDA","TTM",$A6,"","USD","",$A6)</f>
        <v>3606000000</v>
      </c>
      <c r="E6">
        <f>_xll.PBF($C$1,"Adjusted EBITDA","NTM",$A6,"","USD","",$A6)</f>
        <v>3606000000</v>
      </c>
      <c r="F6">
        <f>_xll.PBF($C$1,"Diluted EPS (Analyst Normalized)","NTM",$A6,"","USD","",$A6)</f>
        <v>0.93</v>
      </c>
      <c r="G6">
        <f>_xll.PBF($C$1,"Diluted Weighted Average Shares Outstanding","TTM",$A6,"","USD","",$A6)</f>
        <v>1888972560</v>
      </c>
      <c r="H6" cm="1" vm="3">
        <f t="array" aca="1" ref="H6:I6" ca="1">_xlfn.LET(
    _xlpm.data, _xlfn.STOCKHISTORY("KVUE",$A6-10,$A6,0,0,0,1),
    INDEX(_xlpm.data,ROWS(_xlpm.data),0)
)</f>
        <v>45078</v>
      </c>
      <c r="I6" vm="4">
        <f ca="1"/>
        <v>25.28</v>
      </c>
      <c r="J6">
        <f t="shared" ref="J6:J40" ca="1" si="0">I6/F6</f>
        <v>27.182795698924732</v>
      </c>
      <c r="K6">
        <f t="shared" ref="K6:K40" ca="1" si="1">(I6*G6)+C6</f>
        <v>46638226316.800003</v>
      </c>
      <c r="L6">
        <f t="shared" ref="L6:L40" ca="1" si="2">K6/D6</f>
        <v>12.933507020743207</v>
      </c>
    </row>
    <row r="7" spans="1:12" x14ac:dyDescent="0.35">
      <c r="A7" s="7">
        <v>45108</v>
      </c>
      <c r="B7">
        <f>_xll.PBF($C$1,"Total Revenue","TTM",$A7,"","USD","",$A7)</f>
        <v>15212000000</v>
      </c>
      <c r="C7">
        <f>_xll.PBF($C$1,"Net Debt","TTM",$A7,"","USD","",$A7)</f>
        <v>6102000000</v>
      </c>
      <c r="D7">
        <f>_xll.PBF($C$1,"Adjusted EBITDA","TTM",$A7,"","USD","",$A7)</f>
        <v>3405000000</v>
      </c>
      <c r="E7">
        <f>_xll.PBF($C$1,"Adjusted EBITDA","NTM",$A7,"","USD","",$A7)</f>
        <v>3405000000</v>
      </c>
      <c r="F7">
        <f>_xll.PBF($C$1,"Diluted EPS (Analyst Normalized)","NTM",$A7,"","USD","",$A7)</f>
        <v>1.01</v>
      </c>
      <c r="G7">
        <f>_xll.PBF($C$1,"Diluted Weighted Average Shares Outstanding","TTM",$A7,"","USD","",$A7)</f>
        <v>1888972560</v>
      </c>
      <c r="H7" cm="1" vm="5">
        <f t="array" aca="1" ref="H7:I7" ca="1">_xlfn.LET(
    _xlpm.data, _xlfn.STOCKHISTORY("KVUE",$A7-10,$A7,0,0,0,1),
    INDEX(_xlpm.data,ROWS(_xlpm.data),0)
)</f>
        <v>45107</v>
      </c>
      <c r="I7" vm="6">
        <f ca="1"/>
        <v>26.42</v>
      </c>
      <c r="J7">
        <f t="shared" ca="1" si="0"/>
        <v>26.158415841584159</v>
      </c>
      <c r="K7">
        <f t="shared" ca="1" si="1"/>
        <v>56008655035.200005</v>
      </c>
      <c r="L7">
        <f t="shared" ca="1" si="2"/>
        <v>16.448944210044054</v>
      </c>
    </row>
    <row r="8" spans="1:12" x14ac:dyDescent="0.35">
      <c r="A8" s="7">
        <v>45139</v>
      </c>
      <c r="B8">
        <f>_xll.PBF($C$1,"Total Revenue","TTM",$A8,"","USD","",$A8)</f>
        <v>15212000000</v>
      </c>
      <c r="C8">
        <f>_xll.PBF($C$1,"Net Debt","TTM",$A8,"","USD","",$A8)</f>
        <v>6102000000</v>
      </c>
      <c r="D8">
        <f>_xll.PBF($C$1,"Adjusted EBITDA","TTM",$A8,"","USD","",$A8)</f>
        <v>3405000000</v>
      </c>
      <c r="E8">
        <f>_xll.PBF($C$1,"Adjusted EBITDA","NTM",$A8,"","USD","",$A8)</f>
        <v>3405000000</v>
      </c>
      <c r="F8">
        <f>_xll.PBF($C$1,"Diluted EPS (Analyst Normalized)","NTM",$A8,"","USD","",$A8)</f>
        <v>1.01</v>
      </c>
      <c r="G8">
        <f>_xll.PBF($C$1,"Diluted Weighted Average Shares Outstanding","TTM",$A8,"","USD","",$A8)</f>
        <v>1888972560</v>
      </c>
      <c r="H8" cm="1" vm="7">
        <f t="array" aca="1" ref="H8:I8" ca="1">_xlfn.LET(
    _xlpm.data, _xlfn.STOCKHISTORY("KVUE",$A8-10,$A8,0,0,0,1),
    INDEX(_xlpm.data,ROWS(_xlpm.data),0)
)</f>
        <v>45139</v>
      </c>
      <c r="I8" vm="8">
        <f ca="1"/>
        <v>23.65</v>
      </c>
      <c r="J8">
        <f t="shared" ca="1" si="0"/>
        <v>23.415841584158414</v>
      </c>
      <c r="K8">
        <f t="shared" ca="1" si="1"/>
        <v>50776201044</v>
      </c>
      <c r="L8">
        <f t="shared" ca="1" si="2"/>
        <v>14.912247002643172</v>
      </c>
    </row>
    <row r="9" spans="1:12" x14ac:dyDescent="0.35">
      <c r="A9" s="7">
        <v>45170</v>
      </c>
      <c r="B9">
        <f>_xll.PBF($C$1,"Total Revenue","TTM",$A9,"","USD","",$A9)</f>
        <v>15419000000</v>
      </c>
      <c r="C9">
        <f>_xll.PBF($C$1,"Net Debt","TTM",$A9,"","USD","",$A9)</f>
        <v>7372000000</v>
      </c>
      <c r="D9">
        <f>_xll.PBF($C$1,"Adjusted EBITDA","TTM",$A9,"","USD","",$A9)</f>
        <v>3276000000</v>
      </c>
      <c r="E9">
        <f>_xll.PBF($C$1,"Adjusted EBITDA","NTM",$A9,"","USD","",$A9)</f>
        <v>3276000000</v>
      </c>
      <c r="F9">
        <f>_xll.PBF($C$1,"Diluted EPS (Analyst Normalized)","NTM",$A9,"","USD","",$A9)</f>
        <v>1.05</v>
      </c>
      <c r="G9">
        <f>_xll.PBF($C$1,"Diluted Weighted Average Shares Outstanding","TTM",$A9,"","USD","",$A9)</f>
        <v>1832986280</v>
      </c>
      <c r="H9" cm="1" vm="9">
        <f t="array" aca="1" ref="H9:I9" ca="1">_xlfn.LET(
    _xlpm.data, _xlfn.STOCKHISTORY("KVUE",$A9-10,$A9,0,0,0,1),
    INDEX(_xlpm.data,ROWS(_xlpm.data),0)
)</f>
        <v>45170</v>
      </c>
      <c r="I9" vm="10">
        <f ca="1"/>
        <v>22.96</v>
      </c>
      <c r="J9">
        <f t="shared" ca="1" si="0"/>
        <v>21.866666666666667</v>
      </c>
      <c r="K9">
        <f t="shared" ca="1" si="1"/>
        <v>49457364988.800003</v>
      </c>
      <c r="L9">
        <f t="shared" ca="1" si="2"/>
        <v>15.096875759706961</v>
      </c>
    </row>
    <row r="10" spans="1:12" x14ac:dyDescent="0.35">
      <c r="A10" s="7">
        <v>45200</v>
      </c>
      <c r="B10">
        <f>_xll.PBF($C$1,"Total Revenue","TTM",$A10,"","USD","",$A10)</f>
        <v>15419000000</v>
      </c>
      <c r="C10">
        <f>_xll.PBF($C$1,"Net Debt","TTM",$A10,"","USD","",$A10)</f>
        <v>7372000000</v>
      </c>
      <c r="D10">
        <f>_xll.PBF($C$1,"Adjusted EBITDA","TTM",$A10,"","USD","",$A10)</f>
        <v>3276000000</v>
      </c>
      <c r="E10">
        <f>_xll.PBF($C$1,"Adjusted EBITDA","NTM",$A10,"","USD","",$A10)</f>
        <v>3276000000</v>
      </c>
      <c r="F10">
        <f>_xll.PBF($C$1,"Diluted EPS (Analyst Normalized)","NTM",$A10,"","USD","",$A10)</f>
        <v>1.05</v>
      </c>
      <c r="G10">
        <f>_xll.PBF($C$1,"Diluted Weighted Average Shares Outstanding","TTM",$A10,"","USD","",$A10)</f>
        <v>1832986280</v>
      </c>
      <c r="H10" cm="1" vm="11">
        <f t="array" aca="1" ref="H10:I10" ca="1">_xlfn.LET(
    _xlpm.data, _xlfn.STOCKHISTORY("KVUE",$A10-10,$A10,0,0,0,1),
    INDEX(_xlpm.data,ROWS(_xlpm.data),0)
)</f>
        <v>45198</v>
      </c>
      <c r="I10" vm="12">
        <f ca="1"/>
        <v>20.079999999999998</v>
      </c>
      <c r="J10">
        <f t="shared" ca="1" si="0"/>
        <v>19.12380952380952</v>
      </c>
      <c r="K10">
        <f t="shared" ca="1" si="1"/>
        <v>44178364502.399994</v>
      </c>
      <c r="L10">
        <f t="shared" ca="1" si="2"/>
        <v>13.485459249816849</v>
      </c>
    </row>
    <row r="11" spans="1:12" x14ac:dyDescent="0.35">
      <c r="A11" s="7">
        <v>45231</v>
      </c>
      <c r="B11">
        <f>_xll.PBF($C$1,"Total Revenue","TTM",$A11,"","USD","",$A11)</f>
        <v>15419000000</v>
      </c>
      <c r="C11">
        <f>_xll.PBF($C$1,"Net Debt","TTM",$A11,"","USD","",$A11)</f>
        <v>7372000000</v>
      </c>
      <c r="D11">
        <f>_xll.PBF($C$1,"Adjusted EBITDA","TTM",$A11,"","USD","",$A11)</f>
        <v>3276000000</v>
      </c>
      <c r="E11">
        <f>_xll.PBF($C$1,"Adjusted EBITDA","NTM",$A11,"","USD","",$A11)</f>
        <v>3276000000</v>
      </c>
      <c r="F11">
        <f>_xll.PBF($C$1,"Diluted EPS (Analyst Normalized)","NTM",$A11,"","USD","",$A11)</f>
        <v>1.05</v>
      </c>
      <c r="G11">
        <f>_xll.PBF($C$1,"Diluted Weighted Average Shares Outstanding","TTM",$A11,"","USD","",$A11)</f>
        <v>1832986280</v>
      </c>
      <c r="H11" cm="1" vm="13">
        <f t="array" aca="1" ref="H11:I11" ca="1">_xlfn.LET(
    _xlpm.data, _xlfn.STOCKHISTORY("KVUE",$A11-10,$A11,0,0,0,1),
    INDEX(_xlpm.data,ROWS(_xlpm.data),0)
)</f>
        <v>45231</v>
      </c>
      <c r="I11" vm="14">
        <f ca="1"/>
        <v>18.88</v>
      </c>
      <c r="J11">
        <f t="shared" ca="1" si="0"/>
        <v>17.980952380952381</v>
      </c>
      <c r="K11">
        <f t="shared" ca="1" si="1"/>
        <v>41978780966.400002</v>
      </c>
      <c r="L11">
        <f t="shared" ca="1" si="2"/>
        <v>12.814035704029305</v>
      </c>
    </row>
    <row r="12" spans="1:12" x14ac:dyDescent="0.35">
      <c r="A12" s="7">
        <v>45261</v>
      </c>
      <c r="B12">
        <f>_xll.PBF($C$1,"Total Revenue","TTM",$A12,"","USD","",$A12)</f>
        <v>15545000000</v>
      </c>
      <c r="C12">
        <f>_xll.PBF($C$1,"Net Debt","TTM",$A12,"","USD","",$A12)</f>
        <v>7288000000</v>
      </c>
      <c r="D12">
        <f>_xll.PBF($C$1,"Adjusted EBITDA","TTM",$A12,"","USD","",$A12)</f>
        <v>3201000000</v>
      </c>
      <c r="E12">
        <f>_xll.PBF($C$1,"Adjusted EBITDA","NTM",$A12,"","USD","",$A12)</f>
        <v>3201000000</v>
      </c>
      <c r="F12">
        <f>_xll.PBF($C$1,"Diluted EPS (Analyst Normalized)","NTM",$A12,"","USD","",$A12)</f>
        <v>0.94</v>
      </c>
      <c r="G12">
        <f>_xll.PBF($C$1,"Diluted Weighted Average Shares Outstanding","TTM",$A12,"","USD","",$A12)</f>
        <v>1842493140</v>
      </c>
      <c r="H12" cm="1" vm="15">
        <f t="array" aca="1" ref="H12:I12" ca="1">_xlfn.LET(
    _xlpm.data, _xlfn.STOCKHISTORY("KVUE",$A12-10,$A12,0,0,0,1),
    INDEX(_xlpm.data,ROWS(_xlpm.data),0)
)</f>
        <v>45261</v>
      </c>
      <c r="I12" vm="16">
        <f ca="1"/>
        <v>20.69</v>
      </c>
      <c r="J12">
        <f t="shared" ca="1" si="0"/>
        <v>22.010638297872344</v>
      </c>
      <c r="K12">
        <f t="shared" ca="1" si="1"/>
        <v>45409183066.600006</v>
      </c>
      <c r="L12">
        <f t="shared" ca="1" si="2"/>
        <v>14.185936603124025</v>
      </c>
    </row>
    <row r="13" spans="1:12" x14ac:dyDescent="0.35">
      <c r="A13" s="7">
        <v>45292</v>
      </c>
      <c r="B13">
        <f>_xll.PBF($C$1,"Total Revenue","TTM",$A13,"","USD","",$A13)</f>
        <v>15545000000</v>
      </c>
      <c r="C13">
        <f>_xll.PBF($C$1,"Net Debt","TTM",$A13,"","USD","",$A13)</f>
        <v>7288000000</v>
      </c>
      <c r="D13">
        <f>_xll.PBF($C$1,"Adjusted EBITDA","TTM",$A13,"","USD","",$A13)</f>
        <v>3201000000</v>
      </c>
      <c r="E13">
        <f>_xll.PBF($C$1,"Adjusted EBITDA","NTM",$A13,"","USD","",$A13)</f>
        <v>3201000000</v>
      </c>
      <c r="F13">
        <f>_xll.PBF($C$1,"Diluted EPS (Analyst Normalized)","NTM",$A13,"","USD","",$A13)</f>
        <v>0.94</v>
      </c>
      <c r="G13">
        <f>_xll.PBF($C$1,"Diluted Weighted Average Shares Outstanding","TTM",$A13,"","USD","",$A13)</f>
        <v>1842493140</v>
      </c>
      <c r="H13" cm="1" vm="17">
        <f t="array" aca="1" ref="H13:I13" ca="1">_xlfn.LET(
    _xlpm.data, _xlfn.STOCKHISTORY("KVUE",$A13-10,$A13,0,0,0,1),
    INDEX(_xlpm.data,ROWS(_xlpm.data),0)
)</f>
        <v>45289</v>
      </c>
      <c r="I13" vm="18">
        <f ca="1"/>
        <v>21.53</v>
      </c>
      <c r="J13">
        <f t="shared" ca="1" si="0"/>
        <v>22.904255319148938</v>
      </c>
      <c r="K13">
        <f t="shared" ca="1" si="1"/>
        <v>46956877304.200005</v>
      </c>
      <c r="L13">
        <f t="shared" ca="1" si="2"/>
        <v>14.66943995757576</v>
      </c>
    </row>
    <row r="14" spans="1:12" x14ac:dyDescent="0.35">
      <c r="A14" s="7">
        <v>45323</v>
      </c>
      <c r="B14">
        <f>_xll.PBF($C$1,"Total Revenue","TTM",$A14,"","USD","",$A14)</f>
        <v>15545000000</v>
      </c>
      <c r="C14">
        <f>_xll.PBF($C$1,"Net Debt","TTM",$A14,"","USD","",$A14)</f>
        <v>7288000000</v>
      </c>
      <c r="D14">
        <f>_xll.PBF($C$1,"Adjusted EBITDA","TTM",$A14,"","USD","",$A14)</f>
        <v>3201000000</v>
      </c>
      <c r="E14">
        <f>_xll.PBF($C$1,"Adjusted EBITDA","NTM",$A14,"","USD","",$A14)</f>
        <v>3201000000</v>
      </c>
      <c r="F14">
        <f>_xll.PBF($C$1,"Diluted EPS (Analyst Normalized)","NTM",$A14,"","USD","",$A14)</f>
        <v>0.94</v>
      </c>
      <c r="G14">
        <f>_xll.PBF($C$1,"Diluted Weighted Average Shares Outstanding","TTM",$A14,"","USD","",$A14)</f>
        <v>1842493140</v>
      </c>
      <c r="H14" cm="1" vm="19">
        <f t="array" aca="1" ref="H14:I14" ca="1">_xlfn.LET(
    _xlpm.data, _xlfn.STOCKHISTORY("KVUE",$A14-10,$A14,0,0,0,1),
    INDEX(_xlpm.data,ROWS(_xlpm.data),0)
)</f>
        <v>45323</v>
      </c>
      <c r="I14" vm="20">
        <f ca="1"/>
        <v>20.89</v>
      </c>
      <c r="J14">
        <f t="shared" ca="1" si="0"/>
        <v>22.223404255319149</v>
      </c>
      <c r="K14">
        <f t="shared" ca="1" si="1"/>
        <v>45777681694.599998</v>
      </c>
      <c r="L14">
        <f t="shared" ca="1" si="2"/>
        <v>14.301056449422056</v>
      </c>
    </row>
    <row r="15" spans="1:12" x14ac:dyDescent="0.35">
      <c r="A15" s="7">
        <v>45352</v>
      </c>
      <c r="B15">
        <f>_xll.PBF($C$1,"Total Revenue","TTM",$A15,"","USD","",$A15)</f>
        <v>15444000000</v>
      </c>
      <c r="C15">
        <f>_xll.PBF($C$1,"Net Debt","TTM",$A15,"","USD","",$A15)</f>
        <v>7045000000</v>
      </c>
      <c r="D15">
        <f>_xll.PBF($C$1,"Adjusted EBITDA","TTM",$A15,"","USD","",$A15)</f>
        <v>3236000000</v>
      </c>
      <c r="E15">
        <f>_xll.PBF($C$1,"Adjusted EBITDA","NTM",$A15,"","USD","",$A15)</f>
        <v>3236000000</v>
      </c>
      <c r="F15">
        <f>_xll.PBF($C$1,"Diluted EPS (Analyst Normalized)","NTM",$A15,"","USD","",$A15)</f>
        <v>0.9</v>
      </c>
      <c r="G15">
        <f>_xll.PBF($C$1,"Diluted Weighted Average Shares Outstanding","TTM",$A15,"","USD","",$A15)</f>
        <v>1850000000</v>
      </c>
      <c r="H15" cm="1" vm="21">
        <f t="array" aca="1" ref="H15:I15" ca="1">_xlfn.LET(
    _xlpm.data, _xlfn.STOCKHISTORY("KVUE",$A15-10,$A15,0,0,0,1),
    INDEX(_xlpm.data,ROWS(_xlpm.data),0)
)</f>
        <v>45352</v>
      </c>
      <c r="I15" vm="22">
        <f ca="1"/>
        <v>18.82</v>
      </c>
      <c r="J15">
        <f t="shared" ca="1" si="0"/>
        <v>20.911111111111111</v>
      </c>
      <c r="K15">
        <f t="shared" ca="1" si="1"/>
        <v>41862000000</v>
      </c>
      <c r="L15">
        <f t="shared" ca="1" si="2"/>
        <v>12.936341161928306</v>
      </c>
    </row>
    <row r="16" spans="1:12" x14ac:dyDescent="0.35">
      <c r="A16" s="7">
        <v>45383</v>
      </c>
      <c r="B16">
        <f>_xll.PBF($C$1,"Total Revenue","TTM",$A16,"","USD","",$A16)</f>
        <v>15444000000</v>
      </c>
      <c r="C16">
        <f>_xll.PBF($C$1,"Net Debt","TTM",$A16,"","USD","",$A16)</f>
        <v>7045000000</v>
      </c>
      <c r="D16">
        <f>_xll.PBF($C$1,"Adjusted EBITDA","TTM",$A16,"","USD","",$A16)</f>
        <v>3236000000</v>
      </c>
      <c r="E16">
        <f>_xll.PBF($C$1,"Adjusted EBITDA","NTM",$A16,"","USD","",$A16)</f>
        <v>3236000000</v>
      </c>
      <c r="F16">
        <f>_xll.PBF($C$1,"Diluted EPS (Analyst Normalized)","NTM",$A16,"","USD","",$A16)</f>
        <v>0.9</v>
      </c>
      <c r="G16">
        <f>_xll.PBF($C$1,"Diluted Weighted Average Shares Outstanding","TTM",$A16,"","USD","",$A16)</f>
        <v>1850000000</v>
      </c>
      <c r="H16" cm="1" vm="23">
        <f t="array" aca="1" ref="H16:I16" ca="1">_xlfn.LET(
    _xlpm.data, _xlfn.STOCKHISTORY("KVUE",$A16-10,$A16,0,0,0,1),
    INDEX(_xlpm.data,ROWS(_xlpm.data),0)
)</f>
        <v>45383</v>
      </c>
      <c r="I16" vm="24">
        <f ca="1"/>
        <v>21.23</v>
      </c>
      <c r="J16">
        <f t="shared" ca="1" si="0"/>
        <v>23.588888888888889</v>
      </c>
      <c r="K16">
        <f t="shared" ca="1" si="1"/>
        <v>46320500000</v>
      </c>
      <c r="L16">
        <f t="shared" ca="1" si="2"/>
        <v>14.314122373300371</v>
      </c>
    </row>
    <row r="17" spans="1:12" x14ac:dyDescent="0.35">
      <c r="A17" s="7">
        <v>45413</v>
      </c>
      <c r="B17">
        <f>_xll.PBF($C$1,"Total Revenue","TTM",$A17,"","USD","",$A17)</f>
        <v>15444000000</v>
      </c>
      <c r="C17">
        <f>_xll.PBF($C$1,"Net Debt","TTM",$A17,"","USD","",$A17)</f>
        <v>7045000000</v>
      </c>
      <c r="D17">
        <f>_xll.PBF($C$1,"Adjusted EBITDA","TTM",$A17,"","USD","",$A17)</f>
        <v>3236000000</v>
      </c>
      <c r="E17">
        <f>_xll.PBF($C$1,"Adjusted EBITDA","NTM",$A17,"","USD","",$A17)</f>
        <v>3236000000</v>
      </c>
      <c r="F17">
        <f>_xll.PBF($C$1,"Diluted EPS (Analyst Normalized)","NTM",$A17,"","USD","",$A17)</f>
        <v>0.9</v>
      </c>
      <c r="G17">
        <f>_xll.PBF($C$1,"Diluted Weighted Average Shares Outstanding","TTM",$A17,"","USD","",$A17)</f>
        <v>1850000000</v>
      </c>
      <c r="H17" cm="1" vm="25">
        <f t="array" aca="1" ref="H17:I17" ca="1">_xlfn.LET(
    _xlpm.data, _xlfn.STOCKHISTORY("KVUE",$A17-10,$A17,0,0,0,1),
    INDEX(_xlpm.data,ROWS(_xlpm.data),0)
)</f>
        <v>45413</v>
      </c>
      <c r="I17" vm="26">
        <f ca="1"/>
        <v>18.850000000000001</v>
      </c>
      <c r="J17">
        <f t="shared" ca="1" si="0"/>
        <v>20.944444444444446</v>
      </c>
      <c r="K17">
        <f t="shared" ca="1" si="1"/>
        <v>41917500000</v>
      </c>
      <c r="L17">
        <f t="shared" ca="1" si="2"/>
        <v>12.95349196538937</v>
      </c>
    </row>
    <row r="18" spans="1:12" x14ac:dyDescent="0.35">
      <c r="A18" s="7">
        <v>45444</v>
      </c>
      <c r="B18">
        <f>_xll.PBF($C$1,"Total Revenue","TTM",$A18,"","USD","",$A18)</f>
        <v>15486000000</v>
      </c>
      <c r="C18">
        <f>_xll.PBF($C$1,"Net Debt","TTM",$A18,"","USD","",$A18)</f>
        <v>7542000000</v>
      </c>
      <c r="D18">
        <f>_xll.PBF($C$1,"Adjusted EBITDA","TTM",$A18,"","USD","",$A18)</f>
        <v>3301000000</v>
      </c>
      <c r="E18">
        <f>_xll.PBF($C$1,"Adjusted EBITDA","NTM",$A18,"","USD","",$A18)</f>
        <v>3301000000</v>
      </c>
      <c r="F18">
        <f>_xll.PBF($C$1,"Diluted EPS (Analyst Normalized)","NTM",$A18,"","USD","",$A18)</f>
        <v>0.78</v>
      </c>
      <c r="G18">
        <f>_xll.PBF($C$1,"Diluted Weighted Average Shares Outstanding","TTM",$A18,"","USD","",$A18)</f>
        <v>1858081860</v>
      </c>
      <c r="H18" cm="1" vm="27">
        <f t="array" aca="1" ref="H18:I18" ca="1">_xlfn.LET(
    _xlpm.data, _xlfn.STOCKHISTORY("KVUE",$A18-10,$A18,0,0,0,1),
    INDEX(_xlpm.data,ROWS(_xlpm.data),0)
)</f>
        <v>45443</v>
      </c>
      <c r="I18" vm="28">
        <f ca="1"/>
        <v>19.3</v>
      </c>
      <c r="J18">
        <f t="shared" ca="1" si="0"/>
        <v>24.743589743589745</v>
      </c>
      <c r="K18">
        <f t="shared" ca="1" si="1"/>
        <v>43402979898</v>
      </c>
      <c r="L18">
        <f t="shared" ca="1" si="2"/>
        <v>13.148433777037262</v>
      </c>
    </row>
    <row r="19" spans="1:12" x14ac:dyDescent="0.35">
      <c r="A19" s="7">
        <v>45474</v>
      </c>
      <c r="B19">
        <f>_xll.PBF($C$1,"Total Revenue","TTM",$A19,"","USD","",$A19)</f>
        <v>15486000000</v>
      </c>
      <c r="C19">
        <f>_xll.PBF($C$1,"Net Debt","TTM",$A19,"","USD","",$A19)</f>
        <v>7542000000</v>
      </c>
      <c r="D19">
        <f>_xll.PBF($C$1,"Adjusted EBITDA","TTM",$A19,"","USD","",$A19)</f>
        <v>3301000000</v>
      </c>
      <c r="E19">
        <f>_xll.PBF($C$1,"Adjusted EBITDA","NTM",$A19,"","USD","",$A19)</f>
        <v>3301000000</v>
      </c>
      <c r="F19">
        <f>_xll.PBF($C$1,"Diluted EPS (Analyst Normalized)","NTM",$A19,"","USD","",$A19)</f>
        <v>0.78</v>
      </c>
      <c r="G19">
        <f>_xll.PBF($C$1,"Diluted Weighted Average Shares Outstanding","TTM",$A19,"","USD","",$A19)</f>
        <v>1858081860</v>
      </c>
      <c r="H19" cm="1" vm="29">
        <f t="array" aca="1" ref="H19:I19" ca="1">_xlfn.LET(
    _xlpm.data, _xlfn.STOCKHISTORY("KVUE",$A19-10,$A19,0,0,0,1),
    INDEX(_xlpm.data,ROWS(_xlpm.data),0)
)</f>
        <v>45474</v>
      </c>
      <c r="I19" vm="30">
        <f ca="1"/>
        <v>17.95</v>
      </c>
      <c r="J19">
        <f t="shared" ca="1" si="0"/>
        <v>23.012820512820511</v>
      </c>
      <c r="K19">
        <f t="shared" ca="1" si="1"/>
        <v>40894569387</v>
      </c>
      <c r="L19">
        <f t="shared" ca="1" si="2"/>
        <v>12.388539650711905</v>
      </c>
    </row>
    <row r="20" spans="1:12" x14ac:dyDescent="0.35">
      <c r="A20" s="7">
        <v>45505</v>
      </c>
      <c r="B20">
        <f>_xll.PBF($C$1,"Total Revenue","TTM",$A20,"","USD","",$A20)</f>
        <v>15486000000</v>
      </c>
      <c r="C20">
        <f>_xll.PBF($C$1,"Net Debt","TTM",$A20,"","USD","",$A20)</f>
        <v>7542000000</v>
      </c>
      <c r="D20">
        <f>_xll.PBF($C$1,"Adjusted EBITDA","TTM",$A20,"","USD","",$A20)</f>
        <v>3301000000</v>
      </c>
      <c r="E20">
        <f>_xll.PBF($C$1,"Adjusted EBITDA","NTM",$A20,"","USD","",$A20)</f>
        <v>3301000000</v>
      </c>
      <c r="F20">
        <f>_xll.PBF($C$1,"Diluted EPS (Analyst Normalized)","NTM",$A20,"","USD","",$A20)</f>
        <v>0.78</v>
      </c>
      <c r="G20">
        <f>_xll.PBF($C$1,"Diluted Weighted Average Shares Outstanding","TTM",$A20,"","USD","",$A20)</f>
        <v>1858081860</v>
      </c>
      <c r="H20" cm="1" vm="31">
        <f t="array" aca="1" ref="H20:I20" ca="1">_xlfn.LET(
    _xlpm.data, _xlfn.STOCKHISTORY("KVUE",$A20-10,$A20,0,0,0,1),
    INDEX(_xlpm.data,ROWS(_xlpm.data),0)
)</f>
        <v>45505</v>
      </c>
      <c r="I20" vm="32">
        <f ca="1"/>
        <v>18.63</v>
      </c>
      <c r="J20">
        <f t="shared" ca="1" si="0"/>
        <v>23.884615384615383</v>
      </c>
      <c r="K20">
        <f t="shared" ca="1" si="1"/>
        <v>42158065051.799995</v>
      </c>
      <c r="L20">
        <f t="shared" ca="1" si="2"/>
        <v>12.771301136564675</v>
      </c>
    </row>
    <row r="21" spans="1:12" x14ac:dyDescent="0.35">
      <c r="A21" s="7">
        <v>45536</v>
      </c>
      <c r="B21">
        <f>_xll.PBF($C$1,"Total Revenue","TTM",$A21,"","USD","",$A21)</f>
        <v>15475000000</v>
      </c>
      <c r="C21">
        <f>_xll.PBF($C$1,"Net Debt","TTM",$A21,"","USD","",$A21)</f>
        <v>7592000000</v>
      </c>
      <c r="D21">
        <f>_xll.PBF($C$1,"Adjusted EBITDA","TTM",$A21,"","USD","",$A21)</f>
        <v>3384000000</v>
      </c>
      <c r="E21">
        <f>_xll.PBF($C$1,"Adjusted EBITDA","NTM",$A21,"","USD","",$A21)</f>
        <v>3384000000</v>
      </c>
      <c r="F21">
        <f>_xll.PBF($C$1,"Diluted EPS (Analyst Normalized)","NTM",$A21,"","USD","",$A21)</f>
        <v>0.57999999999999996</v>
      </c>
      <c r="G21">
        <f>_xll.PBF($C$1,"Diluted Weighted Average Shares Outstanding","TTM",$A21,"","USD","",$A21)</f>
        <v>1921825000</v>
      </c>
      <c r="H21" cm="1" vm="33">
        <f t="array" aca="1" ref="H21:I21" ca="1">_xlfn.LET(
    _xlpm.data, _xlfn.STOCKHISTORY("KVUE",$A21-10,$A21,0,0,0,1),
    INDEX(_xlpm.data,ROWS(_xlpm.data),0)
)</f>
        <v>45534</v>
      </c>
      <c r="I21" vm="34">
        <f ca="1"/>
        <v>21.95</v>
      </c>
      <c r="J21">
        <f t="shared" ca="1" si="0"/>
        <v>37.844827586206897</v>
      </c>
      <c r="K21">
        <f t="shared" ca="1" si="1"/>
        <v>49776058750</v>
      </c>
      <c r="L21">
        <f t="shared" ca="1" si="2"/>
        <v>14.709237219267139</v>
      </c>
    </row>
    <row r="22" spans="1:12" x14ac:dyDescent="0.35">
      <c r="A22" s="7">
        <v>45566</v>
      </c>
      <c r="B22">
        <f>_xll.PBF($C$1,"Total Revenue","TTM",$A22,"","USD","",$A22)</f>
        <v>15475000000</v>
      </c>
      <c r="C22">
        <f>_xll.PBF($C$1,"Net Debt","TTM",$A22,"","USD","",$A22)</f>
        <v>7592000000</v>
      </c>
      <c r="D22">
        <f>_xll.PBF($C$1,"Adjusted EBITDA","TTM",$A22,"","USD","",$A22)</f>
        <v>3384000000</v>
      </c>
      <c r="E22">
        <f>_xll.PBF($C$1,"Adjusted EBITDA","NTM",$A22,"","USD","",$A22)</f>
        <v>3384000000</v>
      </c>
      <c r="F22">
        <f>_xll.PBF($C$1,"Diluted EPS (Analyst Normalized)","NTM",$A22,"","USD","",$A22)</f>
        <v>0.57999999999999996</v>
      </c>
      <c r="G22">
        <f>_xll.PBF($C$1,"Diluted Weighted Average Shares Outstanding","TTM",$A22,"","USD","",$A22)</f>
        <v>1921825000</v>
      </c>
      <c r="H22" cm="1" vm="35">
        <f t="array" aca="1" ref="H22:I22" ca="1">_xlfn.LET(
    _xlpm.data, _xlfn.STOCKHISTORY("KVUE",$A22-10,$A22,0,0,0,1),
    INDEX(_xlpm.data,ROWS(_xlpm.data),0)
)</f>
        <v>45566</v>
      </c>
      <c r="I22" vm="36">
        <f ca="1"/>
        <v>22.78</v>
      </c>
      <c r="J22">
        <f t="shared" ca="1" si="0"/>
        <v>39.275862068965523</v>
      </c>
      <c r="K22">
        <f t="shared" ca="1" si="1"/>
        <v>51371173500</v>
      </c>
      <c r="L22">
        <f t="shared" ca="1" si="2"/>
        <v>15.180606826241135</v>
      </c>
    </row>
    <row r="23" spans="1:12" x14ac:dyDescent="0.35">
      <c r="A23" s="7">
        <v>45597</v>
      </c>
      <c r="B23">
        <f>_xll.PBF($C$1,"Total Revenue","TTM",$A23,"","USD","",$A23)</f>
        <v>15475000000</v>
      </c>
      <c r="C23">
        <f>_xll.PBF($C$1,"Net Debt","TTM",$A23,"","USD","",$A23)</f>
        <v>7592000000</v>
      </c>
      <c r="D23">
        <f>_xll.PBF($C$1,"Adjusted EBITDA","TTM",$A23,"","USD","",$A23)</f>
        <v>3384000000</v>
      </c>
      <c r="E23">
        <f>_xll.PBF($C$1,"Adjusted EBITDA","NTM",$A23,"","USD","",$A23)</f>
        <v>3384000000</v>
      </c>
      <c r="F23">
        <f>_xll.PBF($C$1,"Diluted EPS (Analyst Normalized)","NTM",$A23,"","USD","",$A23)</f>
        <v>0.57999999999999996</v>
      </c>
      <c r="G23">
        <f>_xll.PBF($C$1,"Diluted Weighted Average Shares Outstanding","TTM",$A23,"","USD","",$A23)</f>
        <v>1921825000</v>
      </c>
      <c r="H23" cm="1" vm="37">
        <f t="array" aca="1" ref="H23:I23" ca="1">_xlfn.LET(
    _xlpm.data, _xlfn.STOCKHISTORY("KVUE",$A23-10,$A23,0,0,0,1),
    INDEX(_xlpm.data,ROWS(_xlpm.data),0)
)</f>
        <v>45597</v>
      </c>
      <c r="I23" vm="38">
        <f ca="1"/>
        <v>22.73</v>
      </c>
      <c r="J23">
        <f t="shared" ca="1" si="0"/>
        <v>39.189655172413794</v>
      </c>
      <c r="K23">
        <f t="shared" ca="1" si="1"/>
        <v>51275082250</v>
      </c>
      <c r="L23">
        <f t="shared" ca="1" si="2"/>
        <v>15.15221106678487</v>
      </c>
    </row>
    <row r="24" spans="1:12" x14ac:dyDescent="0.35">
      <c r="A24" s="7">
        <v>45627</v>
      </c>
      <c r="B24">
        <f>_xll.PBF($C$1,"Total Revenue","TTM",$A24,"","USD","",$A24)</f>
        <v>15459000000</v>
      </c>
      <c r="C24">
        <f>_xll.PBF($C$1,"Net Debt","TTM",$A24,"","USD","",$A24)</f>
        <v>7770000000</v>
      </c>
      <c r="D24">
        <f>_xll.PBF($C$1,"Adjusted EBITDA","TTM",$A24,"","USD","",$A24)</f>
        <v>3468000000</v>
      </c>
      <c r="E24">
        <f>_xll.PBF($C$1,"Adjusted EBITDA","NTM",$A24,"","USD","",$A24)</f>
        <v>3468000000</v>
      </c>
      <c r="F24">
        <f>_xll.PBF($C$1,"Diluted EPS (Analyst Normalized)","NTM",$A24,"","USD","",$A24)</f>
        <v>0.55000000000000004</v>
      </c>
      <c r="G24">
        <f>_xll.PBF($C$1,"Diluted Weighted Average Shares Outstanding","TTM",$A24,"","USD","",$A24)</f>
        <v>1920825000</v>
      </c>
      <c r="H24" cm="1" vm="39">
        <f t="array" aca="1" ref="H24:I24" ca="1">_xlfn.LET(
    _xlpm.data, _xlfn.STOCKHISTORY("KVUE",$A24-10,$A24,0,0,0,1),
    INDEX(_xlpm.data,ROWS(_xlpm.data),0)
)</f>
        <v>45625</v>
      </c>
      <c r="I24" vm="40">
        <f ca="1"/>
        <v>24.08</v>
      </c>
      <c r="J24">
        <f t="shared" ca="1" si="0"/>
        <v>43.781818181818174</v>
      </c>
      <c r="K24">
        <f t="shared" ca="1" si="1"/>
        <v>54023466000</v>
      </c>
      <c r="L24">
        <f t="shared" ca="1" si="2"/>
        <v>15.577700692041523</v>
      </c>
    </row>
    <row r="25" spans="1:12" x14ac:dyDescent="0.35">
      <c r="A25" s="7">
        <v>45658</v>
      </c>
      <c r="B25">
        <f>_xll.PBF($C$1,"Total Revenue","TTM",$A25,"","USD","",$A25)</f>
        <v>15459000000</v>
      </c>
      <c r="C25">
        <f>_xll.PBF($C$1,"Net Debt","TTM",$A25,"","USD","",$A25)</f>
        <v>7770000000</v>
      </c>
      <c r="D25">
        <f>_xll.PBF($C$1,"Adjusted EBITDA","TTM",$A25,"","USD","",$A25)</f>
        <v>3468000000</v>
      </c>
      <c r="E25">
        <f>_xll.PBF($C$1,"Adjusted EBITDA","NTM",$A25,"","USD","",$A25)</f>
        <v>3468000000</v>
      </c>
      <c r="F25">
        <f>_xll.PBF($C$1,"Diluted EPS (Analyst Normalized)","NTM",$A25,"","USD","",$A25)</f>
        <v>0.55000000000000004</v>
      </c>
      <c r="G25">
        <f>_xll.PBF($C$1,"Diluted Weighted Average Shares Outstanding","TTM",$A25,"","USD","",$A25)</f>
        <v>1920825000</v>
      </c>
      <c r="H25" cm="1" vm="41">
        <f t="array" aca="1" ref="H25:I25" ca="1">_xlfn.LET(
    _xlpm.data, _xlfn.STOCKHISTORY("KVUE",$A25-10,$A25,0,0,0,1),
    INDEX(_xlpm.data,ROWS(_xlpm.data),0)
)</f>
        <v>45657</v>
      </c>
      <c r="I25" vm="42">
        <f ca="1"/>
        <v>21.35</v>
      </c>
      <c r="J25">
        <f t="shared" ca="1" si="0"/>
        <v>38.81818181818182</v>
      </c>
      <c r="K25">
        <f t="shared" ca="1" si="1"/>
        <v>48779613750</v>
      </c>
      <c r="L25">
        <f t="shared" ca="1" si="2"/>
        <v>14.065632569204153</v>
      </c>
    </row>
    <row r="26" spans="1:12" x14ac:dyDescent="0.35">
      <c r="A26" s="7">
        <v>45689</v>
      </c>
      <c r="B26">
        <f>_xll.PBF($C$1,"Total Revenue","TTM",$A26,"","USD","",$A26)</f>
        <v>15459000000</v>
      </c>
      <c r="C26">
        <f>_xll.PBF($C$1,"Net Debt","TTM",$A26,"","USD","",$A26)</f>
        <v>7770000000</v>
      </c>
      <c r="D26">
        <f>_xll.PBF($C$1,"Adjusted EBITDA","TTM",$A26,"","USD","",$A26)</f>
        <v>3468000000</v>
      </c>
      <c r="E26">
        <f>_xll.PBF($C$1,"Adjusted EBITDA","NTM",$A26,"","USD","",$A26)</f>
        <v>3468000000</v>
      </c>
      <c r="F26">
        <f>_xll.PBF($C$1,"Diluted EPS (Analyst Normalized)","NTM",$A26,"","USD","",$A26)</f>
        <v>0.55000000000000004</v>
      </c>
      <c r="G26">
        <f>_xll.PBF($C$1,"Diluted Weighted Average Shares Outstanding","TTM",$A26,"","USD","",$A26)</f>
        <v>1920825000</v>
      </c>
      <c r="H26" cm="1" vm="43">
        <f t="array" aca="1" ref="H26:I26" ca="1">_xlfn.LET(
    _xlpm.data, _xlfn.STOCKHISTORY("KVUE",$A26-10,$A26,0,0,0,1),
    INDEX(_xlpm.data,ROWS(_xlpm.data),0)
)</f>
        <v>45688</v>
      </c>
      <c r="I26" vm="44">
        <f ca="1"/>
        <v>21.29</v>
      </c>
      <c r="J26">
        <f t="shared" ca="1" si="0"/>
        <v>38.709090909090904</v>
      </c>
      <c r="K26">
        <f t="shared" ca="1" si="1"/>
        <v>48664364250</v>
      </c>
      <c r="L26">
        <f t="shared" ca="1" si="2"/>
        <v>14.032400302768167</v>
      </c>
    </row>
    <row r="27" spans="1:12" x14ac:dyDescent="0.35">
      <c r="A27" s="7">
        <v>45717</v>
      </c>
      <c r="B27">
        <f>_xll.PBF($C$1,"Total Revenue","TTM",$A27,"","USD","",$A27)</f>
        <v>15455000000</v>
      </c>
      <c r="C27">
        <f>_xll.PBF($C$1,"Net Debt","TTM",$A27,"","USD","",$A27)</f>
        <v>7650000000</v>
      </c>
      <c r="D27">
        <f>_xll.PBF($C$1,"Adjusted EBITDA","TTM",$A27,"","USD","",$A27)</f>
        <v>3458000000</v>
      </c>
      <c r="E27">
        <f>_xll.PBF($C$1,"Adjusted EBITDA","NTM",$A27,"","USD","",$A27)</f>
        <v>3458000000</v>
      </c>
      <c r="F27">
        <f>_xll.PBF($C$1,"Diluted EPS (Analyst Normalized)","NTM",$A27,"","USD","",$A27)</f>
        <v>0.53</v>
      </c>
      <c r="G27">
        <f>_xll.PBF($C$1,"Diluted Weighted Average Shares Outstanding","TTM",$A27,"","USD","",$A27)</f>
        <v>1923000000</v>
      </c>
      <c r="H27" cm="1" vm="45">
        <f t="array" aca="1" ref="H27:I27" ca="1">_xlfn.LET(
    _xlpm.data, _xlfn.STOCKHISTORY("KVUE",$A27-10,$A27,0,0,0,1),
    INDEX(_xlpm.data,ROWS(_xlpm.data),0)
)</f>
        <v>45716</v>
      </c>
      <c r="I27" vm="46">
        <f ca="1"/>
        <v>23.6</v>
      </c>
      <c r="J27">
        <f t="shared" ca="1" si="0"/>
        <v>44.528301886792455</v>
      </c>
      <c r="K27">
        <f t="shared" ca="1" si="1"/>
        <v>53032800000</v>
      </c>
      <c r="L27">
        <f t="shared" ca="1" si="2"/>
        <v>15.336263736263737</v>
      </c>
    </row>
    <row r="28" spans="1:12" x14ac:dyDescent="0.35">
      <c r="A28" s="7">
        <v>45748</v>
      </c>
      <c r="B28">
        <f>_xll.PBF($C$1,"Total Revenue","TTM",$A28,"","USD","",$A28)</f>
        <v>15455000000</v>
      </c>
      <c r="C28">
        <f>_xll.PBF($C$1,"Net Debt","TTM",$A28,"","USD","",$A28)</f>
        <v>7650000000</v>
      </c>
      <c r="D28">
        <f>_xll.PBF($C$1,"Adjusted EBITDA","TTM",$A28,"","USD","",$A28)</f>
        <v>3458000000</v>
      </c>
      <c r="E28">
        <f>_xll.PBF($C$1,"Adjusted EBITDA","NTM",$A28,"","USD","",$A28)</f>
        <v>3458000000</v>
      </c>
      <c r="F28">
        <f>_xll.PBF($C$1,"Diluted EPS (Analyst Normalized)","NTM",$A28,"","USD","",$A28)</f>
        <v>0.53</v>
      </c>
      <c r="G28">
        <f>_xll.PBF($C$1,"Diluted Weighted Average Shares Outstanding","TTM",$A28,"","USD","",$A28)</f>
        <v>1923000000</v>
      </c>
      <c r="H28" cm="1" vm="47">
        <f t="array" aca="1" ref="H28:I28" ca="1">_xlfn.LET(
    _xlpm.data, _xlfn.STOCKHISTORY("KVUE",$A28-10,$A28,0,0,0,1),
    INDEX(_xlpm.data,ROWS(_xlpm.data),0)
)</f>
        <v>45748</v>
      </c>
      <c r="I28" vm="48">
        <f ca="1"/>
        <v>23.88</v>
      </c>
      <c r="J28">
        <f t="shared" ca="1" si="0"/>
        <v>45.056603773584904</v>
      </c>
      <c r="K28">
        <f t="shared" ca="1" si="1"/>
        <v>53571240000</v>
      </c>
      <c r="L28">
        <f t="shared" ca="1" si="2"/>
        <v>15.491972238288028</v>
      </c>
    </row>
    <row r="29" spans="1:12" x14ac:dyDescent="0.35">
      <c r="A29" s="7">
        <v>45778</v>
      </c>
      <c r="B29">
        <f>_xll.PBF($C$1,"Total Revenue","TTM",$A29,"","USD","",$A29)</f>
        <v>15455000000</v>
      </c>
      <c r="C29">
        <f>_xll.PBF($C$1,"Net Debt","TTM",$A29,"","USD","",$A29)</f>
        <v>7650000000</v>
      </c>
      <c r="D29">
        <f>_xll.PBF($C$1,"Adjusted EBITDA","TTM",$A29,"","USD","",$A29)</f>
        <v>3458000000</v>
      </c>
      <c r="E29">
        <f>_xll.PBF($C$1,"Adjusted EBITDA","NTM",$A29,"","USD","",$A29)</f>
        <v>3458000000</v>
      </c>
      <c r="F29" t="str">
        <f>_xll.PBF($C$1,"Diluted EPS (Analyst Normalized)","NTM",$A29,"","USD","",$A29)</f>
        <v>#WAIT</v>
      </c>
      <c r="G29">
        <f>_xll.PBF($C$1,"Diluted Weighted Average Shares Outstanding","TTM",$A29,"","USD","",$A29)</f>
        <v>1923000000</v>
      </c>
      <c r="H29" cm="1" vm="49">
        <f t="array" aca="1" ref="H29:I29" ca="1">_xlfn.LET(
    _xlpm.data, _xlfn.STOCKHISTORY("KVUE",$A29-10,$A29,0,0,0,1),
    INDEX(_xlpm.data,ROWS(_xlpm.data),0)
)</f>
        <v>45778</v>
      </c>
      <c r="I29" vm="50">
        <f ca="1"/>
        <v>23.96</v>
      </c>
      <c r="J29" t="e">
        <f t="shared" ca="1" si="0"/>
        <v>#VALUE!</v>
      </c>
      <c r="K29">
        <f t="shared" ca="1" si="1"/>
        <v>53725080000</v>
      </c>
      <c r="L29">
        <f t="shared" ca="1" si="2"/>
        <v>15.53646038172354</v>
      </c>
    </row>
    <row r="30" spans="1:12" x14ac:dyDescent="0.35">
      <c r="A30" s="7">
        <v>45809</v>
      </c>
      <c r="B30">
        <f>_xll.PBF($C$1,"Total Revenue","TTM",$A30,"","USD","",$A30)</f>
        <v>15302000000</v>
      </c>
      <c r="C30">
        <f>_xll.PBF($C$1,"Net Debt","TTM",$A30,"","USD","",$A30)</f>
        <v>7796000000</v>
      </c>
      <c r="D30">
        <f>_xll.PBF($C$1,"Adjusted EBITDA","TTM",$A30,"","USD","",$A30)</f>
        <v>3367000000</v>
      </c>
      <c r="E30">
        <f>_xll.PBF($C$1,"Adjusted EBITDA","NTM",$A30,"","USD","",$A30)</f>
        <v>3367000000</v>
      </c>
      <c r="F30">
        <f>_xll.PBF($C$1,"Diluted EPS (Analyst Normalized)","NTM",$A30,"","USD","",$A30)</f>
        <v>0.55000000000000004</v>
      </c>
      <c r="G30">
        <f>_xll.PBF($C$1,"Diluted Weighted Average Shares Outstanding","TTM",$A30,"","USD","",$A30)</f>
        <v>1924250000</v>
      </c>
      <c r="H30" cm="1" vm="51">
        <f t="array" aca="1" ref="H30:I30" ca="1">_xlfn.LET(
    _xlpm.data, _xlfn.STOCKHISTORY("KVUE",$A30-10,$A30,0,0,0,1),
    INDEX(_xlpm.data,ROWS(_xlpm.data),0)
)</f>
        <v>45807</v>
      </c>
      <c r="I30" vm="52">
        <f ca="1"/>
        <v>23.87</v>
      </c>
      <c r="J30">
        <f t="shared" ca="1" si="0"/>
        <v>43.4</v>
      </c>
      <c r="K30">
        <f t="shared" ca="1" si="1"/>
        <v>53727847500</v>
      </c>
      <c r="L30">
        <f t="shared" ca="1" si="2"/>
        <v>15.957186664686665</v>
      </c>
    </row>
    <row r="31" spans="1:12" x14ac:dyDescent="0.35">
      <c r="A31" s="7">
        <v>45839</v>
      </c>
      <c r="B31">
        <f>_xll.PBF($C$1,"Total Revenue","TTM",$A31,"","USD","",$A31)</f>
        <v>15302000000</v>
      </c>
      <c r="C31">
        <f>_xll.PBF($C$1,"Net Debt","TTM",$A31,"","USD","",$A31)</f>
        <v>7796000000</v>
      </c>
      <c r="D31">
        <f>_xll.PBF($C$1,"Adjusted EBITDA","TTM",$A31,"","USD","",$A31)</f>
        <v>3367000000</v>
      </c>
      <c r="E31">
        <f>_xll.PBF($C$1,"Adjusted EBITDA","NTM",$A31,"","USD","",$A31)</f>
        <v>3367000000</v>
      </c>
      <c r="F31">
        <f>_xll.PBF($C$1,"Diluted EPS (Analyst Normalized)","NTM",$A31,"","USD","",$A31)</f>
        <v>0.55000000000000004</v>
      </c>
      <c r="G31">
        <f>_xll.PBF($C$1,"Diluted Weighted Average Shares Outstanding","TTM",$A31,"","USD","",$A31)</f>
        <v>1924250000</v>
      </c>
      <c r="H31" cm="1" vm="53">
        <f t="array" aca="1" ref="H31:I31" ca="1">_xlfn.LET(
    _xlpm.data, _xlfn.STOCKHISTORY("KVUE",$A31-10,$A31,0,0,0,1),
    INDEX(_xlpm.data,ROWS(_xlpm.data),0)
)</f>
        <v>45839</v>
      </c>
      <c r="I31" vm="54">
        <f ca="1"/>
        <v>20.97</v>
      </c>
      <c r="J31">
        <f t="shared" ca="1" si="0"/>
        <v>38.127272727272725</v>
      </c>
      <c r="K31">
        <f t="shared" ca="1" si="1"/>
        <v>48147522500</v>
      </c>
      <c r="L31">
        <f t="shared" ca="1" si="2"/>
        <v>14.299828482328483</v>
      </c>
    </row>
    <row r="32" spans="1:12" x14ac:dyDescent="0.35">
      <c r="A32" s="7">
        <v>45870</v>
      </c>
      <c r="B32">
        <f>_xll.PBF($C$1,"Total Revenue","TTM",$A32,"","USD","",$A32)</f>
        <v>15302000000</v>
      </c>
      <c r="C32">
        <f>_xll.PBF($C$1,"Net Debt","TTM",$A32,"","USD","",$A32)</f>
        <v>7796000000</v>
      </c>
      <c r="D32">
        <f>_xll.PBF($C$1,"Adjusted EBITDA","TTM",$A32,"","USD","",$A32)</f>
        <v>3367000000</v>
      </c>
      <c r="E32">
        <f>_xll.PBF($C$1,"Adjusted EBITDA","NTM",$A32,"","USD","",$A32)</f>
        <v>3367000000</v>
      </c>
      <c r="F32">
        <f>_xll.PBF($C$1,"Diluted EPS (Analyst Normalized)","NTM",$A32,"","USD","",$A32)</f>
        <v>0.55000000000000004</v>
      </c>
      <c r="G32">
        <f>_xll.PBF($C$1,"Diluted Weighted Average Shares Outstanding","TTM",$A32,"","USD","",$A32)</f>
        <v>1924250000</v>
      </c>
      <c r="H32" cm="1" vm="55">
        <f t="array" aca="1" ref="H32:I32" ca="1">_xlfn.LET(
    _xlpm.data, _xlfn.STOCKHISTORY("KVUE",$A32-10,$A32,0,0,0,1),
    INDEX(_xlpm.data,ROWS(_xlpm.data),0)
)</f>
        <v>45870</v>
      </c>
      <c r="I32" vm="56">
        <f ca="1"/>
        <v>21.59</v>
      </c>
      <c r="J32">
        <f t="shared" ca="1" si="0"/>
        <v>39.25454545454545</v>
      </c>
      <c r="K32">
        <f t="shared" ca="1" si="1"/>
        <v>49340557500</v>
      </c>
      <c r="L32">
        <f t="shared" ca="1" si="2"/>
        <v>14.654160231660232</v>
      </c>
    </row>
    <row r="33" spans="1:12" x14ac:dyDescent="0.35">
      <c r="A33" s="7">
        <v>45901</v>
      </c>
      <c r="B33">
        <f>_xll.PBF($C$1,"Total Revenue","TTM",$A33,"","USD","",$A33)</f>
        <v>15141000000</v>
      </c>
      <c r="C33">
        <f>_xll.PBF($C$1,"Net Debt","TTM",$A33,"","USD","",$A33)</f>
        <v>7674000000</v>
      </c>
      <c r="D33">
        <f>_xll.PBF($C$1,"Adjusted EBITDA","TTM",$A33,"","USD","",$A33)</f>
        <v>3371000000</v>
      </c>
      <c r="E33">
        <f>_xll.PBF($C$1,"Adjusted EBITDA","NTM",$A33,"","USD","",$A33)</f>
        <v>3371000000</v>
      </c>
      <c r="F33">
        <f>_xll.PBF($C$1,"Diluted EPS (Analyst Normalized)","NTM",$A33,"","USD","",$A33)</f>
        <v>0.74</v>
      </c>
      <c r="G33">
        <f>_xll.PBF($C$1,"Diluted Weighted Average Shares Outstanding","TTM",$A33,"","USD","",$A33)</f>
        <v>1926500000</v>
      </c>
      <c r="H33" cm="1" vm="57">
        <f t="array" aca="1" ref="H33:I33" ca="1">_xlfn.LET(
    _xlpm.data, _xlfn.STOCKHISTORY("KVUE",$A33-10,$A33,0,0,0,1),
    INDEX(_xlpm.data,ROWS(_xlpm.data),0)
)</f>
        <v>45898</v>
      </c>
      <c r="I33" vm="58">
        <f ca="1"/>
        <v>20.71</v>
      </c>
      <c r="J33">
        <f t="shared" ca="1" si="0"/>
        <v>27.986486486486488</v>
      </c>
      <c r="K33">
        <f t="shared" ca="1" si="1"/>
        <v>47571815000</v>
      </c>
      <c r="L33">
        <f t="shared" ca="1" si="2"/>
        <v>14.112078018392168</v>
      </c>
    </row>
    <row r="34" spans="1:12" x14ac:dyDescent="0.35">
      <c r="A34" s="7">
        <v>45931</v>
      </c>
      <c r="B34">
        <f>_xll.PBF($C$1,"Total Revenue","TTM",$A34,"","USD","",$A34)</f>
        <v>15141000000</v>
      </c>
      <c r="C34">
        <f>_xll.PBF($C$1,"Net Debt","TTM",$A34,"","USD","",$A34)</f>
        <v>7674000000</v>
      </c>
      <c r="D34">
        <f>_xll.PBF($C$1,"Adjusted EBITDA","TTM",$A34,"","USD","",$A34)</f>
        <v>3371000000</v>
      </c>
      <c r="E34">
        <f>_xll.PBF($C$1,"Adjusted EBITDA","NTM",$A34,"","USD","",$A34)</f>
        <v>3371000000</v>
      </c>
      <c r="F34">
        <f>_xll.PBF($C$1,"Diluted EPS (Analyst Normalized)","NTM",$A34,"","USD","",$A34)</f>
        <v>0.74</v>
      </c>
      <c r="G34">
        <f>_xll.PBF($C$1,"Diluted Weighted Average Shares Outstanding","TTM",$A34,"","USD","",$A34)</f>
        <v>1926500000</v>
      </c>
      <c r="H34" cm="1" vm="59">
        <f t="array" aca="1" ref="H34:I34" ca="1">_xlfn.LET(
    _xlpm.data, _xlfn.STOCKHISTORY("KVUE",$A34-10,$A34,0,0,0,1),
    INDEX(_xlpm.data,ROWS(_xlpm.data),0)
)</f>
        <v>45931</v>
      </c>
      <c r="I34" vm="60">
        <f ca="1"/>
        <v>15.85</v>
      </c>
      <c r="J34">
        <f t="shared" ca="1" si="0"/>
        <v>21.418918918918919</v>
      </c>
      <c r="K34">
        <f t="shared" ca="1" si="1"/>
        <v>38209025000</v>
      </c>
      <c r="L34">
        <f t="shared" ca="1" si="2"/>
        <v>11.334626223672501</v>
      </c>
    </row>
    <row r="35" spans="1:12" x14ac:dyDescent="0.35">
      <c r="A35" s="7">
        <v>45962</v>
      </c>
      <c r="B35">
        <f>_xll.PBF($C$1,"Total Revenue","TTM",$A35,"","USD","",$A35)</f>
        <v>15141000000</v>
      </c>
      <c r="C35">
        <f>_xll.PBF($C$1,"Net Debt","TTM",$A35,"","USD","",$A35)</f>
        <v>7674000000</v>
      </c>
      <c r="D35">
        <f>_xll.PBF($C$1,"Adjusted EBITDA","TTM",$A35,"","USD","",$A35)</f>
        <v>3371000000</v>
      </c>
      <c r="E35">
        <f>_xll.PBF($C$1,"Adjusted EBITDA","NTM",$A35,"","USD","",$A35)</f>
        <v>3371000000</v>
      </c>
      <c r="F35">
        <f>_xll.PBF($C$1,"Diluted EPS (Analyst Normalized)","NTM",$A35,"","USD","",$A35)</f>
        <v>0.74</v>
      </c>
      <c r="G35">
        <f>_xll.PBF($C$1,"Diluted Weighted Average Shares Outstanding","TTM",$A35,"","USD","",$A35)</f>
        <v>1926500000</v>
      </c>
      <c r="H35" cm="1" vm="61">
        <f t="array" aca="1" ref="H35:I35" ca="1">_xlfn.LET(
    _xlpm.data, _xlfn.STOCKHISTORY("KVUE",$A35-10,$A35,0,0,0,1),
    INDEX(_xlpm.data,ROWS(_xlpm.data),0)
)</f>
        <v>45961</v>
      </c>
      <c r="I35" vm="62">
        <f ca="1"/>
        <v>14.37</v>
      </c>
      <c r="J35">
        <f t="shared" ca="1" si="0"/>
        <v>19.418918918918919</v>
      </c>
      <c r="K35">
        <f t="shared" ca="1" si="1"/>
        <v>35357805000</v>
      </c>
      <c r="L35">
        <f t="shared" ca="1" si="2"/>
        <v>10.488817858202314</v>
      </c>
    </row>
    <row r="36" spans="1:12" x14ac:dyDescent="0.35">
      <c r="A36" s="7">
        <v>45992</v>
      </c>
      <c r="B36">
        <f>_xll.PBF($C$1,"Total Revenue","TTM",$A36,"","USD","",$A36)</f>
        <v>15006000000</v>
      </c>
      <c r="C36">
        <f>_xll.PBF($C$1,"Net Debt","TTM",$A36,"","USD","",$A36)</f>
        <v>7970000000</v>
      </c>
      <c r="D36">
        <f>_xll.PBF($C$1,"Adjusted EBITDA","TTM",$A36,"","USD","",$A36)</f>
        <v>3414000000</v>
      </c>
      <c r="E36">
        <f>_xll.PBF($C$1,"Adjusted EBITDA","NTM",$A36,"","USD","",$A36)</f>
        <v>3414000000</v>
      </c>
      <c r="F36">
        <f>_xll.PBF($C$1,"Diluted EPS (Analyst Normalized)","NTM",$A36,"","USD","",$A36)</f>
        <v>0.75</v>
      </c>
      <c r="G36">
        <f>_xll.PBF($C$1,"Diluted Weighted Average Shares Outstanding","TTM",$A36,"","USD","",$A36)</f>
        <v>1926000000</v>
      </c>
      <c r="H36" cm="1" vm="63">
        <f t="array" aca="1" ref="H36:I36" ca="1">_xlfn.LET(
    _xlpm.data, _xlfn.STOCKHISTORY("KVUE",$A36-10,$A36,0,0,0,1),
    INDEX(_xlpm.data,ROWS(_xlpm.data),0)
)</f>
        <v>45992</v>
      </c>
      <c r="I36" vm="64">
        <f ca="1"/>
        <v>17.22</v>
      </c>
      <c r="J36">
        <f t="shared" ca="1" si="0"/>
        <v>22.959999999999997</v>
      </c>
      <c r="K36">
        <f t="shared" ca="1" si="1"/>
        <v>41135720000</v>
      </c>
      <c r="L36">
        <f t="shared" ca="1" si="2"/>
        <v>12.04912712360867</v>
      </c>
    </row>
    <row r="37" spans="1:12" x14ac:dyDescent="0.35">
      <c r="A37" s="7">
        <v>46023</v>
      </c>
      <c r="B37">
        <f>_xll.PBF($C$1,"Total Revenue","TTM",$A37,"","USD","",$A37)</f>
        <v>15006000000</v>
      </c>
      <c r="C37">
        <f>_xll.PBF($C$1,"Net Debt","TTM",$A37,"","USD","",$A37)</f>
        <v>7970000000</v>
      </c>
      <c r="D37">
        <f>_xll.PBF($C$1,"Adjusted EBITDA","TTM",$A37,"","USD","",$A37)</f>
        <v>3414000000</v>
      </c>
      <c r="E37">
        <f>_xll.PBF($C$1,"Adjusted EBITDA","NTM",$A37,"","USD","",$A37)</f>
        <v>3414000000</v>
      </c>
      <c r="F37">
        <f>_xll.PBF($C$1,"Diluted EPS (Analyst Normalized)","NTM",$A37,"","USD","",$A37)</f>
        <v>0.75</v>
      </c>
      <c r="G37">
        <f>_xll.PBF($C$1,"Diluted Weighted Average Shares Outstanding","TTM",$A37,"","USD","",$A37)</f>
        <v>1926000000</v>
      </c>
      <c r="H37" cm="1" vm="65">
        <f t="array" aca="1" ref="H37:I37" ca="1">_xlfn.LET(
    _xlpm.data, _xlfn.STOCKHISTORY("KVUE",$A37-10,$A37,0,0,0,1),
    INDEX(_xlpm.data,ROWS(_xlpm.data),0)
)</f>
        <v>46022</v>
      </c>
      <c r="I37" vm="66">
        <f ca="1"/>
        <v>17.25</v>
      </c>
      <c r="J37">
        <f t="shared" ca="1" si="0"/>
        <v>23</v>
      </c>
      <c r="K37">
        <f t="shared" ca="1" si="1"/>
        <v>41193500000</v>
      </c>
      <c r="L37">
        <f t="shared" ca="1" si="2"/>
        <v>12.066051552431166</v>
      </c>
    </row>
    <row r="38" spans="1:12" x14ac:dyDescent="0.35">
      <c r="A38" s="7">
        <v>46054</v>
      </c>
      <c r="B38">
        <f>_xll.PBF($C$1,"Total Revenue","TTM",$A38,"","USD","",$A38)</f>
        <v>15006000000</v>
      </c>
      <c r="C38">
        <f>_xll.PBF($C$1,"Net Debt","TTM",$A38,"","USD","",$A38)</f>
        <v>7970000000</v>
      </c>
      <c r="D38">
        <f>_xll.PBF($C$1,"Adjusted EBITDA","TTM",$A38,"","USD","",$A38)</f>
        <v>3414000000</v>
      </c>
      <c r="E38">
        <f>_xll.PBF($C$1,"Adjusted EBITDA","NTM",$A38,"","USD","",$A38)</f>
        <v>3414000000</v>
      </c>
      <c r="F38">
        <f>_xll.PBF($C$1,"Diluted EPS (Analyst Normalized)","NTM",$A38,"","USD","",$A38)</f>
        <v>0.75</v>
      </c>
      <c r="G38">
        <f>_xll.PBF($C$1,"Diluted Weighted Average Shares Outstanding","TTM",$A38,"","USD","",$A38)</f>
        <v>1926000000</v>
      </c>
      <c r="H38" cm="1" vm="67">
        <f t="array" aca="1" ref="H38:I38" ca="1">_xlfn.LET(
    _xlpm.data, _xlfn.STOCKHISTORY("KVUE",$A38-10,$A38,0,0,0,1),
    INDEX(_xlpm.data,ROWS(_xlpm.data),0)
)</f>
        <v>46052</v>
      </c>
      <c r="I38" vm="68">
        <f ca="1"/>
        <v>17.399999999999999</v>
      </c>
      <c r="J38">
        <f t="shared" ca="1" si="0"/>
        <v>23.2</v>
      </c>
      <c r="K38">
        <f t="shared" ca="1" si="1"/>
        <v>41482400000</v>
      </c>
      <c r="L38">
        <f t="shared" ca="1" si="2"/>
        <v>12.150673696543643</v>
      </c>
    </row>
    <row r="39" spans="1:12" x14ac:dyDescent="0.35">
      <c r="A39" s="7">
        <v>46082</v>
      </c>
      <c r="B39">
        <f>_xll.PBF($C$1,"Total Revenue","TTM",$A39,"","USD","",$A39)</f>
        <v>15124000000</v>
      </c>
      <c r="C39">
        <f>_xll.PBF($C$1,"Net Debt","TTM",$A39,"","USD","",$A39)</f>
        <v>7612000000</v>
      </c>
      <c r="D39">
        <f>_xll.PBF($C$1,"Adjusted EBITDA","TTM",$A39,"","USD","",$A39)</f>
        <v>3437000000</v>
      </c>
      <c r="E39">
        <f>_xll.PBF($C$1,"Adjusted EBITDA","NTM",$A39,"","USD","",$A39)</f>
        <v>3437000000</v>
      </c>
      <c r="F39">
        <f>_xll.PBF($C$1,"Diluted EPS (Analyst Normalized)","NTM",$A39,"","USD","",$A39)</f>
        <v>0.77</v>
      </c>
      <c r="G39">
        <f>_xll.PBF($C$1,"Diluted Weighted Average Shares Outstanding","TTM",$A39,"","USD","",$A39)</f>
        <v>1924000000</v>
      </c>
      <c r="H39" cm="1" vm="69">
        <f t="array" aca="1" ref="H39:I39" ca="1">_xlfn.LET(
    _xlpm.data, _xlfn.STOCKHISTORY("KVUE",$A39-10,$A39,0,0,0,1),
    INDEX(_xlpm.data,ROWS(_xlpm.data),0)
)</f>
        <v>46080</v>
      </c>
      <c r="I39" vm="70">
        <f ca="1"/>
        <v>19.12</v>
      </c>
      <c r="J39">
        <f t="shared" ca="1" si="0"/>
        <v>24.831168831168831</v>
      </c>
      <c r="K39">
        <f t="shared" ca="1" si="1"/>
        <v>44398880000</v>
      </c>
      <c r="L39">
        <f t="shared" ca="1" si="2"/>
        <v>12.917916787896422</v>
      </c>
    </row>
    <row r="40" spans="1:12" x14ac:dyDescent="0.35">
      <c r="A40" s="7">
        <v>46113</v>
      </c>
      <c r="B40">
        <f>_xll.PBF($C$1,"Total Revenue","TTM",$A40,"","USD","",$A40)</f>
        <v>15124000000</v>
      </c>
      <c r="C40">
        <f>_xll.PBF($C$1,"Net Debt","TTM",$A40,"","USD","",$A40)</f>
        <v>7612000000</v>
      </c>
      <c r="D40">
        <f>_xll.PBF($C$1,"Adjusted EBITDA","TTM",$A40,"","USD","",$A40)</f>
        <v>3437000000</v>
      </c>
      <c r="E40">
        <f>_xll.PBF($C$1,"Adjusted EBITDA","NTM",$A40,"","USD","",$A40)</f>
        <v>3437000000</v>
      </c>
      <c r="F40">
        <f>_xll.PBF($C$1,"Diluted EPS (Analyst Normalized)","NTM",$A40,"","USD","",$A40)</f>
        <v>0.77</v>
      </c>
      <c r="G40">
        <f>_xll.PBF($C$1,"Diluted Weighted Average Shares Outstanding","TTM",$A40,"","USD","",$A40)</f>
        <v>1924000000</v>
      </c>
      <c r="H40" cm="1" vm="71">
        <f t="array" aca="1" ref="H40:I40" ca="1">_xlfn.LET(
    _xlpm.data, _xlfn.STOCKHISTORY("KVUE",$A40-10,$A40,0,0,0,1),
    INDEX(_xlpm.data,ROWS(_xlpm.data),0)
)</f>
        <v>46113</v>
      </c>
      <c r="I40" vm="72">
        <f ca="1"/>
        <v>17.38</v>
      </c>
      <c r="J40">
        <f t="shared" ca="1" si="0"/>
        <v>22.571428571428569</v>
      </c>
      <c r="K40">
        <f t="shared" ca="1" si="1"/>
        <v>41051120000</v>
      </c>
      <c r="L40">
        <f t="shared" ca="1" si="2"/>
        <v>11.943881291824265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F10" sqref="F10"/>
    </sheetView>
  </sheetViews>
  <sheetFormatPr defaultRowHeight="14.5" x14ac:dyDescent="0.35"/>
  <cols>
    <col min="1" max="13" width="20" customWidth="1"/>
  </cols>
  <sheetData>
    <row r="1" spans="1:13" x14ac:dyDescent="0.35">
      <c r="A1" t="s">
        <v>0</v>
      </c>
      <c r="B1" t="s">
        <v>32</v>
      </c>
    </row>
    <row r="2" spans="1:13" x14ac:dyDescent="0.35">
      <c r="A2" s="1" t="s">
        <v>2</v>
      </c>
    </row>
    <row r="4" spans="1:13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33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5">
      <c r="A5" s="6" t="s">
        <v>16</v>
      </c>
      <c r="B5" t="s">
        <v>17</v>
      </c>
      <c r="C5">
        <f>_xll.PBF(A5,"Total Revenue","TTM",$B$1,"","USD","",$B$1)</f>
        <v>14950000000</v>
      </c>
      <c r="D5">
        <f>_xll.PBF(A5,"Diluted Weighted Average Shares Outstanding","TTM",$B$1,"","USD","",$B$1)</f>
        <v>1888972560</v>
      </c>
      <c r="E5">
        <f>_xll.PBF(A5,"Net Debt","TTM",$B$1,"","USD","",$B$1)</f>
        <v>-1115000000</v>
      </c>
      <c r="F5">
        <f>_xll.PBF(A5,"Adjusted EBITDA","TTM",$B$1,"","USD","",$B$1)</f>
        <v>3606000000</v>
      </c>
      <c r="G5">
        <f>_xll.PBF(A5,"Adjusted EBITDA","NTM",$B$1,"","USD","",$B$1)</f>
        <v>3606000000</v>
      </c>
      <c r="H5">
        <f>_xll.PBF(A5,"Diluted EPS (Analyst Normalized)","NTM",$B$1,"","USD","",$B$1)</f>
        <v>0.93</v>
      </c>
      <c r="I5">
        <f ca="1">D16*D5</f>
        <v>50813361864</v>
      </c>
      <c r="J5">
        <f t="shared" ref="J5:J12" ca="1" si="0">I5+E5</f>
        <v>49698361864</v>
      </c>
      <c r="K5">
        <f t="shared" ref="K5:K12" ca="1" si="1">IFERROR(J5/F5,"")</f>
        <v>13.782130300610094</v>
      </c>
      <c r="L5">
        <f t="shared" ref="L5:L12" ca="1" si="2">IFERROR(J5/G5,"")</f>
        <v>13.782130300610094</v>
      </c>
      <c r="M5">
        <f t="shared" ref="M5:M12" ca="1" si="3">I5/(D5*H5)</f>
        <v>28.924731182795696</v>
      </c>
    </row>
    <row r="6" spans="1:13" x14ac:dyDescent="0.35">
      <c r="A6" s="6" t="s">
        <v>18</v>
      </c>
      <c r="B6" t="s">
        <v>19</v>
      </c>
      <c r="C6">
        <f>_xll.PBF(A6,"Total Revenue","TTM",$B$1,"","USD","",$B$1)</f>
        <v>80968000000</v>
      </c>
      <c r="D6">
        <f>_xll.PBF(A6,"Diluted Weighted Average Shares Outstanding","TTM",$B$1,"","USD","",$B$1)</f>
        <v>2495300000</v>
      </c>
      <c r="E6">
        <f>_xll.PBF(A6,"Net Debt","TTM",$B$1,"","USD","",$B$1)</f>
        <v>28995000000</v>
      </c>
      <c r="F6">
        <f>_xll.PBF(A6,"Adjusted EBITDA","TTM",$B$1,"","USD","",$B$1)</f>
        <v>21450000000</v>
      </c>
      <c r="G6">
        <f>_xll.PBF(A6,"Adjusted EBITDA","NTM",$B$1,"","USD","",$B$1)</f>
        <v>21450000000</v>
      </c>
      <c r="H6">
        <f>_xll.PBF(A6,"Diluted EPS (Analyst Normalized)","NTM",$B$1,"","USD","",$B$1)</f>
        <v>5.74</v>
      </c>
      <c r="I6">
        <f t="shared" ref="I6:I9" ca="1" si="4">D17*D6</f>
        <v>388044103000</v>
      </c>
      <c r="J6">
        <f t="shared" ca="1" si="0"/>
        <v>417039103000</v>
      </c>
      <c r="K6">
        <f t="shared" ca="1" si="1"/>
        <v>19.442382424242425</v>
      </c>
      <c r="L6">
        <f t="shared" ca="1" si="2"/>
        <v>19.442382424242425</v>
      </c>
      <c r="M6">
        <f t="shared" ca="1" si="3"/>
        <v>27.092334494773517</v>
      </c>
    </row>
    <row r="7" spans="1:13" x14ac:dyDescent="0.35">
      <c r="A7" s="6" t="s">
        <v>20</v>
      </c>
      <c r="B7" t="s">
        <v>21</v>
      </c>
      <c r="C7">
        <f>_xll.PBF(A7,"Total Revenue","TTM",$B$1,"","USD","",$B$1)</f>
        <v>20275000000</v>
      </c>
      <c r="D7">
        <f>_xll.PBF(A7,"Diluted Weighted Average Shares Outstanding","TTM",$B$1,"","USD","",$B$1)</f>
        <v>338400000</v>
      </c>
      <c r="E7">
        <f>_xll.PBF(A7,"Net Debt","TTM",$B$1,"","USD","",$B$1)</f>
        <v>7957000000</v>
      </c>
      <c r="F7">
        <f>_xll.PBF(A7,"Adjusted EBITDA","TTM",$B$1,"","USD","",$B$1)</f>
        <v>3624000000</v>
      </c>
      <c r="G7">
        <f>_xll.PBF(A7,"Adjusted EBITDA","NTM",$B$1,"","USD","",$B$1)</f>
        <v>3624000000</v>
      </c>
      <c r="H7">
        <f>_xll.PBF(A7,"Diluted EPS (Analyst Normalized)","NTM",$B$1,"","USD","",$B$1)</f>
        <v>5.84</v>
      </c>
      <c r="I7">
        <f t="shared" ca="1" si="4"/>
        <v>48868344000</v>
      </c>
      <c r="J7">
        <f t="shared" ca="1" si="0"/>
        <v>56825344000</v>
      </c>
      <c r="K7">
        <f t="shared" ca="1" si="1"/>
        <v>15.680282560706402</v>
      </c>
      <c r="L7">
        <f t="shared" ca="1" si="2"/>
        <v>15.680282560706402</v>
      </c>
      <c r="M7">
        <f t="shared" ca="1" si="3"/>
        <v>24.727739726027398</v>
      </c>
    </row>
    <row r="8" spans="1:13" x14ac:dyDescent="0.35">
      <c r="A8" s="6" t="s">
        <v>22</v>
      </c>
      <c r="B8" t="s">
        <v>23</v>
      </c>
      <c r="C8">
        <f>_xll.PBF(A8,"Total Revenue","TTM",$B$1,"","USD","",$B$1)</f>
        <v>18338000000</v>
      </c>
      <c r="D8">
        <f>_xll.PBF(A8,"Diluted Weighted Average Shares Outstanding","TTM",$B$1,"","USD","",$B$1)</f>
        <v>836125000</v>
      </c>
      <c r="E8">
        <f>_xll.PBF(A8,"Net Debt","TTM",$B$1,"","USD","",$B$1)</f>
        <v>8040000000</v>
      </c>
      <c r="F8">
        <f>_xll.PBF(A8,"Adjusted EBITDA","TTM",$B$1,"","USD","",$B$1)</f>
        <v>3944000000</v>
      </c>
      <c r="G8">
        <f>_xll.PBF(A8,"Adjusted EBITDA","NTM",$B$1,"","USD","",$B$1)</f>
        <v>3944000000</v>
      </c>
      <c r="H8">
        <f>_xll.PBF(A8,"Diluted EPS (Analyst Normalized)","NTM",$B$1,"","USD","",$B$1)</f>
        <v>1.92</v>
      </c>
      <c r="I8">
        <f t="shared" ca="1" si="4"/>
        <v>67550538750.000008</v>
      </c>
      <c r="J8">
        <f t="shared" ca="1" si="0"/>
        <v>75590538750</v>
      </c>
      <c r="K8">
        <f t="shared" ca="1" si="1"/>
        <v>19.165958100912778</v>
      </c>
      <c r="L8">
        <f t="shared" ca="1" si="2"/>
        <v>19.165958100912778</v>
      </c>
      <c r="M8">
        <f t="shared" ca="1" si="3"/>
        <v>42.078125000000007</v>
      </c>
    </row>
    <row r="9" spans="1:13" x14ac:dyDescent="0.35">
      <c r="A9" s="6" t="s">
        <v>24</v>
      </c>
      <c r="B9" t="s">
        <v>25</v>
      </c>
      <c r="C9">
        <f>_xll.PBF(A9,"Total Revenue","TTM",$B$1,"","USD","",$B$1)</f>
        <v>5508200000</v>
      </c>
      <c r="D9">
        <f>_xll.PBF(A9,"Diluted Weighted Average Shares Outstanding","TTM",$B$1,"","USD","",$B$1)</f>
        <v>246325000</v>
      </c>
      <c r="E9">
        <f>_xll.PBF(A9,"Net Debt","TTM",$B$1,"","USD","",$B$1)</f>
        <v>2216000000</v>
      </c>
      <c r="F9">
        <f>_xll.PBF(A9,"Adjusted EBITDA","TTM",$B$1,"","USD","",$B$1)</f>
        <v>1310300000</v>
      </c>
      <c r="G9">
        <f>_xll.PBF(A9,"Adjusted EBITDA","NTM",$B$1,"","USD","",$B$1)</f>
        <v>1310300000</v>
      </c>
      <c r="H9">
        <f>_xll.PBF(A9,"Diluted EPS (Analyst Normalized)","NTM",$B$1,"","USD","",$B$1)</f>
        <v>1.67</v>
      </c>
      <c r="I9">
        <f t="shared" ca="1" si="4"/>
        <v>24056099500</v>
      </c>
      <c r="J9">
        <f t="shared" ca="1" si="0"/>
        <v>26272099500</v>
      </c>
      <c r="K9">
        <f t="shared" ca="1" si="1"/>
        <v>20.05044608105014</v>
      </c>
      <c r="L9">
        <f t="shared" ca="1" si="2"/>
        <v>20.05044608105014</v>
      </c>
      <c r="M9">
        <f t="shared" ca="1" si="3"/>
        <v>58.479041916167667</v>
      </c>
    </row>
    <row r="10" spans="1:13" x14ac:dyDescent="0.35">
      <c r="A10" s="6" t="s">
        <v>26</v>
      </c>
      <c r="B10" t="s">
        <v>27</v>
      </c>
      <c r="C10">
        <f>_xll.PBF(A10,"Total Revenue","TTM",$B$1,"","USD","",$B$1)</f>
        <v>41505000000</v>
      </c>
      <c r="D10">
        <f>_xll.PBF(A10,"Diluted Weighted Average Shares Outstanding","TTM",$B$1,"","USD","",$B$1)</f>
        <v>1758293250</v>
      </c>
      <c r="E10">
        <f>_xll.PBF(A10,"Net Debt","TTM",$B$1,"","USD","",$B$1)</f>
        <v>7368000000</v>
      </c>
      <c r="F10">
        <f>_xll.PBF(A10,"Adjusted EBITDA","TTM",$B$1,"","USD","",$B$1)</f>
        <v>11213000000</v>
      </c>
      <c r="G10">
        <f>_xll.PBF(A10,"Adjusted EBITDA","NTM",$B$1,"","USD","",$B$1)</f>
        <v>11213000000</v>
      </c>
      <c r="H10">
        <f>_xll.PBF(A10,"Diluted EPS (Analyst Normalized)","NTM",$B$1,"","USD","",$B$1)</f>
        <v>3.29</v>
      </c>
      <c r="I10">
        <f>_xll.PBF(A10,"Market Cap","TTM",$B$1,"","USD","",$B$1)</f>
        <v>192779642137</v>
      </c>
      <c r="J10">
        <f t="shared" si="0"/>
        <v>200147642137</v>
      </c>
      <c r="K10">
        <f t="shared" si="1"/>
        <v>17.849606897083742</v>
      </c>
      <c r="L10">
        <f t="shared" si="2"/>
        <v>17.849606897083742</v>
      </c>
      <c r="M10">
        <f t="shared" si="3"/>
        <v>33.325291960202165</v>
      </c>
    </row>
    <row r="11" spans="1:13" x14ac:dyDescent="0.35">
      <c r="A11" s="6" t="s">
        <v>28</v>
      </c>
      <c r="B11" t="s">
        <v>29</v>
      </c>
      <c r="C11">
        <f>_xll.PBF(A11,"Total Revenue","TTM",$B$1,"","USD","",$B$1)</f>
        <v>5268100000</v>
      </c>
      <c r="D11">
        <f>_xll.PBF(A11,"Diluted Weighted Average Shares Outstanding","TTM",$B$1,"","USD","",$B$1)</f>
        <v>868800000</v>
      </c>
      <c r="E11">
        <f>_xll.PBF(A11,"Net Debt","TTM",$B$1,"","USD","",$B$1)</f>
        <v>4127500000</v>
      </c>
      <c r="F11">
        <f>_xll.PBF(A11,"Adjusted EBITDA","TTM",$B$1,"","USD","",$B$1)</f>
        <v>940400000</v>
      </c>
      <c r="G11">
        <f>_xll.PBF(A11,"Adjusted EBITDA","NTM",$B$1,"","USD","",$B$1)</f>
        <v>940400000</v>
      </c>
      <c r="H11">
        <f>_xll.PBF(A11,"Diluted EPS (Analyst Normalized)","NTM",$B$1,"","USD","",$B$1)</f>
        <v>0.14000000000000001</v>
      </c>
      <c r="I11">
        <f>_xll.PBF(A11,"Market Cap","TTM",$B$1,"","USD","",$B$1)</f>
        <v>9949793231</v>
      </c>
      <c r="J11">
        <f t="shared" si="0"/>
        <v>14077293231</v>
      </c>
      <c r="K11">
        <f t="shared" si="1"/>
        <v>14.969473873883453</v>
      </c>
      <c r="L11">
        <f t="shared" si="2"/>
        <v>14.969473873883453</v>
      </c>
      <c r="M11">
        <f t="shared" si="3"/>
        <v>81.802430536372</v>
      </c>
    </row>
    <row r="12" spans="1:13" x14ac:dyDescent="0.35">
      <c r="A12" s="6" t="s">
        <v>30</v>
      </c>
      <c r="B12" t="s">
        <v>31</v>
      </c>
      <c r="C12">
        <f>_xll.PBF(A12,"Total Revenue","TTM",$B$1,"","USD","",$B$1)</f>
        <v>2177500000</v>
      </c>
      <c r="D12">
        <f>_xll.PBF(A12,"Diluted Weighted Average Shares Outstanding","TTM",$B$1,"","USD","",$B$1)</f>
        <v>52825000</v>
      </c>
      <c r="E12">
        <f>_xll.PBF(A12,"Net Debt","TTM",$B$1,"","USD","",$B$1)</f>
        <v>1383500000</v>
      </c>
      <c r="F12">
        <f>_xll.PBF(A12,"Adjusted EBITDA","TTM",$B$1,"","USD","",$B$1)</f>
        <v>330000000</v>
      </c>
      <c r="G12">
        <f>_xll.PBF(A12,"Adjusted EBITDA","NTM",$B$1,"","USD","",$B$1)</f>
        <v>330000000</v>
      </c>
      <c r="H12">
        <f>_xll.PBF(A12,"Diluted EPS (Analyst Normalized)","NTM",$B$1,"","USD","",$B$1)</f>
        <v>1.88</v>
      </c>
      <c r="I12">
        <f>_xll.PBF(A12,"Market Cap","TTM",$B$1,"","USD","",$B$1)</f>
        <v>2221222392</v>
      </c>
      <c r="J12">
        <f t="shared" si="0"/>
        <v>3604722392</v>
      </c>
      <c r="K12">
        <f t="shared" si="1"/>
        <v>10.923401187878788</v>
      </c>
      <c r="L12">
        <f t="shared" si="2"/>
        <v>10.923401187878788</v>
      </c>
      <c r="M12">
        <f t="shared" si="3"/>
        <v>22.366327919364419</v>
      </c>
    </row>
    <row r="16" spans="1:13" x14ac:dyDescent="0.35">
      <c r="D16" cm="1" vm="2">
        <f t="array" aca="1" ref="D16" ca="1">_xlfn.STOCKHISTORY("KVUE",$B$1,$B$1,0,0,1)</f>
        <v>26.9</v>
      </c>
    </row>
    <row r="17" spans="4:4" x14ac:dyDescent="0.35">
      <c r="D17" cm="1" vm="73">
        <f t="array" aca="1" ref="D17" ca="1">_xlfn.STOCKHISTORY("PG",$B$1,$B$1,0,0,1)</f>
        <v>155.51</v>
      </c>
    </row>
    <row r="18" spans="4:4" x14ac:dyDescent="0.35">
      <c r="D18" cm="1" vm="74">
        <f t="array" aca="1" ref="D18" ca="1">_xlfn.STOCKHISTORY("KMB",$B$1,$B$1,0,0,1)</f>
        <v>144.41</v>
      </c>
    </row>
    <row r="19" spans="4:4" x14ac:dyDescent="0.35">
      <c r="D19" cm="1" vm="75">
        <f t="array" aca="1" ref="D19" ca="1">_xlfn.STOCKHISTORY("CL",$B$1,$B$1,0,0,1)</f>
        <v>80.790000000000006</v>
      </c>
    </row>
    <row r="20" spans="4:4" x14ac:dyDescent="0.35">
      <c r="D20" cm="1" vm="76">
        <f t="array" aca="1" ref="D20" ca="1">_xlfn.STOCKHISTORY("CHD",$B$1,$B$1,0,0,1)</f>
        <v>97.66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opLeftCell="A2" workbookViewId="0">
      <selection activeCell="G11" sqref="G11"/>
    </sheetView>
  </sheetViews>
  <sheetFormatPr defaultRowHeight="14.5" x14ac:dyDescent="0.35"/>
  <cols>
    <col min="1" max="13" width="20" customWidth="1"/>
  </cols>
  <sheetData>
    <row r="1" spans="1:13" x14ac:dyDescent="0.35">
      <c r="A1" t="s">
        <v>0</v>
      </c>
      <c r="B1" t="s">
        <v>34</v>
      </c>
    </row>
    <row r="2" spans="1:13" x14ac:dyDescent="0.35">
      <c r="A2" s="1" t="s">
        <v>2</v>
      </c>
    </row>
    <row r="4" spans="1:13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5">
      <c r="A5" t="s">
        <v>16</v>
      </c>
      <c r="B5" t="s">
        <v>17</v>
      </c>
      <c r="C5">
        <f>_xll.PBF(A5,"Total Revenue","TTM",$B$1,"","USD","",$B$1)</f>
        <v>15444000000</v>
      </c>
      <c r="D5">
        <f>_xll.PBF(A5,"Diluted Weighted Average Shares Outstanding","TTM",$B$1,"","USD","",$B$1)</f>
        <v>1850000000</v>
      </c>
      <c r="E5">
        <f>_xll.PBF(A5,"Net Debt","TTM",$B$1,"","USD","",$B$1)</f>
        <v>7045000000</v>
      </c>
      <c r="F5">
        <f>_xll.PBF(A5," Adjusted EBITDA","TTM",$B$1,"","USD","",$B$1)</f>
        <v>3236000000</v>
      </c>
      <c r="G5">
        <f>_xll.PBF(A5,"Adjusted EBITDA","NTM",$B$1,"","USD","",$B$1)</f>
        <v>3236000000</v>
      </c>
      <c r="H5">
        <f>_xll.PBF(A5,"Diluted EPS (Analyst Normalized)","NTM",$B$1,"","USD","",$B$1)</f>
        <v>0.9</v>
      </c>
      <c r="I5">
        <f ca="1">D16*D5</f>
        <v>35520000000</v>
      </c>
      <c r="J5">
        <f t="shared" ref="J5:J12" ca="1" si="0">I5+E5</f>
        <v>42565000000</v>
      </c>
      <c r="K5">
        <f t="shared" ref="K5:K12" ca="1" si="1">IFERROR(J5/F5,"")</f>
        <v>13.153584672435105</v>
      </c>
      <c r="L5">
        <f t="shared" ref="L5:L12" ca="1" si="2">IFERROR(J5/G5,"")</f>
        <v>13.153584672435105</v>
      </c>
      <c r="M5">
        <f t="shared" ref="M5:M12" ca="1" si="3">I5/(D5*H5)</f>
        <v>21.333333333333332</v>
      </c>
    </row>
    <row r="6" spans="1:13" x14ac:dyDescent="0.35">
      <c r="A6" t="s">
        <v>18</v>
      </c>
      <c r="B6" t="s">
        <v>19</v>
      </c>
      <c r="C6">
        <f>_xll.PBF(A6,"Total Revenue","TTM",$B$1,"","USD","",$B$1)</f>
        <v>84060000000</v>
      </c>
      <c r="D6">
        <f>_xll.PBF(A6,"Diluted Weighted Average Shares Outstanding","TTM",$B$1,"","USD","",$B$1)</f>
        <v>2473250000</v>
      </c>
      <c r="E6">
        <f>_xll.PBF(A6,"Net Debt","TTM",$B$1,"","USD","",$B$1)</f>
        <v>25154000000</v>
      </c>
      <c r="F6">
        <f>_xll.PBF(A6," Adjusted EBITDA","TTM",$B$1,"","USD","",$B$1)</f>
        <v>24254000000</v>
      </c>
      <c r="G6">
        <f>_xll.PBF(A6,"Adjusted EBITDA","NTM",$B$1,"","USD","",$B$1)</f>
        <v>24254000000</v>
      </c>
      <c r="H6">
        <f>_xll.PBF(A6,"Diluted EPS (Analyst Normalized)","NTM",$B$1,"","USD","",$B$1)</f>
        <v>6.12</v>
      </c>
      <c r="I6">
        <f t="shared" ref="I6:I9" ca="1" si="4">D17*D6</f>
        <v>406750695000</v>
      </c>
      <c r="J6">
        <f t="shared" ca="1" si="0"/>
        <v>431904695000</v>
      </c>
      <c r="K6">
        <f t="shared" ca="1" si="1"/>
        <v>17.807565556196916</v>
      </c>
      <c r="L6">
        <f t="shared" ca="1" si="2"/>
        <v>17.807565556196916</v>
      </c>
      <c r="M6">
        <f t="shared" ca="1" si="3"/>
        <v>26.872549019607842</v>
      </c>
    </row>
    <row r="7" spans="1:13" x14ac:dyDescent="0.35">
      <c r="A7" t="s">
        <v>20</v>
      </c>
      <c r="B7" t="s">
        <v>21</v>
      </c>
      <c r="C7">
        <f>_xll.PBF(A7,"Total Revenue","TTM",$B$1,"","USD","",$B$1)</f>
        <v>17100000000</v>
      </c>
      <c r="D7">
        <f>_xll.PBF(A7,"Diluted Weighted Average Shares Outstanding","TTM",$B$1,"","USD","",$B$1)</f>
        <v>338725000</v>
      </c>
      <c r="E7">
        <f>_xll.PBF(A7,"Net Debt","TTM",$B$1,"","USD","",$B$1)</f>
        <v>7117000000</v>
      </c>
      <c r="F7">
        <f>_xll.PBF(A7," Adjusted EBITDA","TTM",$B$1,"","USD","",$B$1)</f>
        <v>3413000000</v>
      </c>
      <c r="G7">
        <f>_xll.PBF(A7,"Adjusted EBITDA","NTM",$B$1,"","USD","",$B$1)</f>
        <v>3413000000</v>
      </c>
      <c r="H7">
        <f>_xll.PBF(A7,"Diluted EPS (Analyst Normalized)","NTM",$B$1,"","USD","",$B$1)</f>
        <v>5.44</v>
      </c>
      <c r="I7">
        <f t="shared" ca="1" si="4"/>
        <v>46097085250</v>
      </c>
      <c r="J7">
        <f t="shared" ca="1" si="0"/>
        <v>53214085250</v>
      </c>
      <c r="K7">
        <f t="shared" ca="1" si="1"/>
        <v>15.591586653970115</v>
      </c>
      <c r="L7">
        <f t="shared" ca="1" si="2"/>
        <v>15.591586653970115</v>
      </c>
      <c r="M7">
        <f t="shared" ca="1" si="3"/>
        <v>25.016544117647054</v>
      </c>
    </row>
    <row r="8" spans="1:13" x14ac:dyDescent="0.35">
      <c r="A8" t="s">
        <v>22</v>
      </c>
      <c r="B8" t="s">
        <v>23</v>
      </c>
      <c r="C8">
        <f>_xll.PBF(A8,"Total Revenue","TTM",$B$1,"","USD","",$B$1)</f>
        <v>19752000000</v>
      </c>
      <c r="D8">
        <f>_xll.PBF(A8,"Diluted Weighted Average Shares Outstanding","TTM",$B$1,"","USD","",$B$1)</f>
        <v>827425000</v>
      </c>
      <c r="E8">
        <f>_xll.PBF(A8,"Net Debt","TTM",$B$1,"","USD","",$B$1)</f>
        <v>7610000000</v>
      </c>
      <c r="F8">
        <f>_xll.PBF(A8," Adjusted EBITDA","TTM",$B$1,"","USD","",$B$1)</f>
        <v>4775000000</v>
      </c>
      <c r="G8">
        <f>_xll.PBF(A8,"Adjusted EBITDA","NTM",$B$1,"","USD","",$B$1)</f>
        <v>4775000000</v>
      </c>
      <c r="H8">
        <f>_xll.PBF(A8,"Diluted EPS (Analyst Normalized)","NTM",$B$1,"","USD","",$B$1)</f>
        <v>3.16</v>
      </c>
      <c r="I8">
        <f t="shared" ca="1" si="4"/>
        <v>76851234000</v>
      </c>
      <c r="J8">
        <f t="shared" ca="1" si="0"/>
        <v>84461234000</v>
      </c>
      <c r="K8">
        <f t="shared" ca="1" si="1"/>
        <v>17.688216544502616</v>
      </c>
      <c r="L8">
        <f t="shared" ca="1" si="2"/>
        <v>17.688216544502616</v>
      </c>
      <c r="M8">
        <f t="shared" ca="1" si="3"/>
        <v>29.39240506329114</v>
      </c>
    </row>
    <row r="9" spans="1:13" x14ac:dyDescent="0.35">
      <c r="A9" t="s">
        <v>24</v>
      </c>
      <c r="B9" t="s">
        <v>25</v>
      </c>
      <c r="C9">
        <f>_xll.PBF(A9,"Total Revenue","TTM",$B$1,"","USD","",$B$1)</f>
        <v>5941400000</v>
      </c>
      <c r="D9">
        <f>_xll.PBF(A9,"Diluted Weighted Average Shares Outstanding","TTM",$B$1,"","USD","",$B$1)</f>
        <v>247425000</v>
      </c>
      <c r="E9">
        <f>_xll.PBF(A9,"Net Debt","TTM",$B$1,"","USD","",$B$1)</f>
        <v>1857100000</v>
      </c>
      <c r="F9">
        <f>_xll.PBF(A9," Adjusted EBITDA","TTM",$B$1,"","USD","",$B$1)</f>
        <v>1370700000</v>
      </c>
      <c r="G9">
        <f>_xll.PBF(A9,"Adjusted EBITDA","NTM",$B$1,"","USD","",$B$1)</f>
        <v>1370700000</v>
      </c>
      <c r="H9">
        <f>_xll.PBF(A9,"Diluted EPS (Analyst Normalized)","NTM",$B$1,"","USD","",$B$1)</f>
        <v>3.15</v>
      </c>
      <c r="I9">
        <f t="shared" ca="1" si="4"/>
        <v>26254266750</v>
      </c>
      <c r="J9">
        <f t="shared" ca="1" si="0"/>
        <v>28111366750</v>
      </c>
      <c r="K9">
        <f t="shared" ca="1" si="1"/>
        <v>20.508766870941855</v>
      </c>
      <c r="L9">
        <f t="shared" ca="1" si="2"/>
        <v>20.508766870941855</v>
      </c>
      <c r="M9">
        <f t="shared" ca="1" si="3"/>
        <v>33.685714285714283</v>
      </c>
    </row>
    <row r="10" spans="1:13" x14ac:dyDescent="0.35">
      <c r="A10" t="s">
        <v>26</v>
      </c>
      <c r="B10" t="s">
        <v>27</v>
      </c>
      <c r="C10">
        <f>_xll.PBF(A10,"Total Revenue","TTM",$B$1,"","USD","",$B$1)</f>
        <v>40326000000</v>
      </c>
      <c r="D10">
        <f>_xll.PBF(A10,"Diluted Weighted Average Shares Outstanding","TTM",$B$1,"","USD","",$B$1)</f>
        <v>1748484250</v>
      </c>
      <c r="E10">
        <f>_xll.PBF(A10,"Net Debt","TTM",$B$1,"","USD","",$B$1)</f>
        <v>7935000000</v>
      </c>
      <c r="F10">
        <f>_xll.PBF(A10," Adjusted EBITDA","TTM",$B$1,"","USD","",$B$1)</f>
        <v>10708000000</v>
      </c>
      <c r="G10">
        <f>_xll.PBF(A10,"Adjusted EBITDA","NTM",$B$1,"","USD","",$B$1)</f>
        <v>10708000000</v>
      </c>
      <c r="H10">
        <f>_xll.PBF(A10,"Diluted EPS (Analyst Normalized)","NTM",$B$1,"","USD","",$B$1)</f>
        <v>3.21</v>
      </c>
      <c r="I10">
        <f>_xll.PBF(A10,"Market Cap","TTM",$B$1,"","USD","",$B$1)</f>
        <v>184227215078</v>
      </c>
      <c r="J10">
        <f t="shared" si="0"/>
        <v>192162215078</v>
      </c>
      <c r="K10">
        <f t="shared" si="1"/>
        <v>17.94566819929025</v>
      </c>
      <c r="L10">
        <f t="shared" si="2"/>
        <v>17.94566819929025</v>
      </c>
      <c r="M10">
        <f t="shared" si="3"/>
        <v>32.823661858858003</v>
      </c>
    </row>
    <row r="11" spans="1:13" x14ac:dyDescent="0.35">
      <c r="A11" t="s">
        <v>28</v>
      </c>
      <c r="B11" t="s">
        <v>29</v>
      </c>
      <c r="C11">
        <f>_xll.PBF(A11,"Total Revenue","TTM",$B$1,"","USD","",$B$1)</f>
        <v>6009500000</v>
      </c>
      <c r="D11">
        <f>_xll.PBF(A11,"Diluted Weighted Average Shares Outstanding","TTM",$B$1,"","USD","",$B$1)</f>
        <v>885900000</v>
      </c>
      <c r="E11">
        <f>_xll.PBF(A11,"Net Debt","TTM",$B$1,"","USD","",$B$1)</f>
        <v>3554900000</v>
      </c>
      <c r="F11">
        <f>_xll.PBF(A11," Adjusted EBITDA","TTM",$B$1,"","USD","",$B$1)</f>
        <v>1061400000</v>
      </c>
      <c r="G11">
        <f>_xll.PBF(A11,"Adjusted EBITDA","NTM",$B$1,"","USD","",$B$1)</f>
        <v>1061400000</v>
      </c>
      <c r="H11">
        <f>_xll.PBF(A11,"Diluted EPS (Analyst Normalized)","NTM",$B$1,"","USD","",$B$1)</f>
        <v>0.35</v>
      </c>
      <c r="I11">
        <f>_xll.PBF(A11,"Market Cap","TTM",$B$1,"","USD","",$B$1)</f>
        <v>10383959031</v>
      </c>
      <c r="J11">
        <f t="shared" si="0"/>
        <v>13938859031</v>
      </c>
      <c r="K11">
        <f t="shared" si="1"/>
        <v>13.132522169775768</v>
      </c>
      <c r="L11">
        <f t="shared" si="2"/>
        <v>13.132522169775768</v>
      </c>
      <c r="M11">
        <f t="shared" si="3"/>
        <v>33.489620018383242</v>
      </c>
    </row>
    <row r="12" spans="1:13" x14ac:dyDescent="0.35">
      <c r="A12" t="s">
        <v>30</v>
      </c>
      <c r="B12" t="s">
        <v>31</v>
      </c>
      <c r="C12">
        <f>_xll.PBF(A12,"Total Revenue","TTM",$B$1,"","USD","",$B$1)</f>
        <v>2271400000</v>
      </c>
      <c r="D12">
        <f>_xll.PBF(A12,"Diluted Weighted Average Shares Outstanding","TTM",$B$1,"","USD","",$B$1)</f>
        <v>51450000</v>
      </c>
      <c r="E12">
        <f>_xll.PBF(A12,"Net Debt","TTM",$B$1,"","USD","",$B$1)</f>
        <v>1262300000</v>
      </c>
      <c r="F12">
        <f>_xll.PBF(A12," Adjusted EBITDA","TTM",$B$1,"","USD","",$B$1)</f>
        <v>334900000</v>
      </c>
      <c r="G12">
        <f>_xll.PBF(A12,"Adjusted EBITDA","NTM",$B$1,"","USD","",$B$1)</f>
        <v>334900000</v>
      </c>
      <c r="H12">
        <f>_xll.PBF(A12,"Diluted EPS (Analyst Normalized)","NTM",$B$1,"","USD","",$B$1)</f>
        <v>2.06</v>
      </c>
      <c r="I12">
        <f>_xll.PBF(A12,"Market Cap","TTM",$B$1,"","USD","",$B$1)</f>
        <v>1888470485</v>
      </c>
      <c r="J12">
        <f t="shared" si="0"/>
        <v>3150770485</v>
      </c>
      <c r="K12">
        <f t="shared" si="1"/>
        <v>9.4080934159450589</v>
      </c>
      <c r="L12">
        <f t="shared" si="2"/>
        <v>9.4080934159450589</v>
      </c>
      <c r="M12">
        <f t="shared" si="3"/>
        <v>17.817944512062802</v>
      </c>
    </row>
    <row r="16" spans="1:13" x14ac:dyDescent="0.35">
      <c r="D16" cm="1" vm="77">
        <f t="array" aca="1" ref="D16" ca="1">_xlfn.STOCKHISTORY("KVUE",$B$1-1,$B$1,0,0,1)</f>
        <v>19.2</v>
      </c>
    </row>
    <row r="17" spans="4:4" x14ac:dyDescent="0.35">
      <c r="D17" cm="1" vm="78">
        <f t="array" aca="1" ref="D17" ca="1">_xlfn.STOCKHISTORY("PG",$B$1-1,$B$1,0,0,1)</f>
        <v>164.46</v>
      </c>
    </row>
    <row r="18" spans="4:4" x14ac:dyDescent="0.35">
      <c r="D18" cm="1" vm="79">
        <f t="array" aca="1" ref="D18" ca="1">_xlfn.STOCKHISTORY("KMB",$B$1-1,$B$1,0,0,1)</f>
        <v>136.09</v>
      </c>
    </row>
    <row r="19" spans="4:4" x14ac:dyDescent="0.35">
      <c r="D19" cm="1" vm="80">
        <f t="array" aca="1" ref="D19" ca="1">_xlfn.STOCKHISTORY("CL",$B$1-1,$B$1,0,0,1)</f>
        <v>92.88</v>
      </c>
    </row>
    <row r="20" spans="4:4" x14ac:dyDescent="0.35">
      <c r="D20" cm="1" vm="81">
        <f t="array" aca="1" ref="D20" ca="1">_xlfn.STOCKHISTORY("CHD",$B$1-1,$B$1,0,0,1)</f>
        <v>106.11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selection activeCell="G5" sqref="G5:G12"/>
    </sheetView>
  </sheetViews>
  <sheetFormatPr defaultRowHeight="14.5" x14ac:dyDescent="0.35"/>
  <cols>
    <col min="1" max="13" width="20" customWidth="1"/>
  </cols>
  <sheetData>
    <row r="1" spans="1:13" x14ac:dyDescent="0.35">
      <c r="A1" t="s">
        <v>0</v>
      </c>
      <c r="B1" t="s">
        <v>1</v>
      </c>
    </row>
    <row r="2" spans="1:13" x14ac:dyDescent="0.35">
      <c r="A2" s="1" t="s">
        <v>2</v>
      </c>
    </row>
    <row r="4" spans="1:13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5">
      <c r="A5" t="s">
        <v>16</v>
      </c>
      <c r="B5" t="s">
        <v>17</v>
      </c>
      <c r="C5">
        <f>_xll.PBF(A5,"Total Revenue","TTM",$B$1,"","USD","",$B$1)</f>
        <v>15141000000</v>
      </c>
      <c r="D5">
        <f>_xll.PBF(A5,"Diluted Weighted Average Shares Outstanding","TTM",$B$1,"","USD","",$B$1)</f>
        <v>1926500000</v>
      </c>
      <c r="E5">
        <f>_xll.PBF(A5,"Net Debt","TTM",$B$1,"","USD","",$B$1)</f>
        <v>7674000000</v>
      </c>
      <c r="F5">
        <f>_xll.PBF(A5,"Adjusted EBITDA","TTM",$B$1,"","USD","",$B$1)</f>
        <v>3371000000</v>
      </c>
      <c r="G5">
        <f>_xll.PBF(A5,"Adjusted EBITDA","NTM",$B$1,"","USD","",$B$1)</f>
        <v>3371000000</v>
      </c>
      <c r="H5">
        <f>_xll.PBF(A5,"Diluted EPS (Analyst Normalized)","NTM",$B$1,"","USD","",$B$1)</f>
        <v>0.74</v>
      </c>
      <c r="I5">
        <f ca="1">G15*D5</f>
        <v>27683805000</v>
      </c>
      <c r="J5">
        <f t="shared" ref="J5:J12" ca="1" si="0">I5+E5</f>
        <v>35357805000</v>
      </c>
      <c r="K5">
        <f t="shared" ref="K5:K12" ca="1" si="1">IFERROR(J5/F5,"")</f>
        <v>10.488817858202314</v>
      </c>
      <c r="L5">
        <f t="shared" ref="L5:L12" ca="1" si="2">IFERROR(J5/G5,"")</f>
        <v>10.488817858202314</v>
      </c>
      <c r="M5">
        <f t="shared" ref="M5:M12" ca="1" si="3">I5/(D5*H5)</f>
        <v>19.418918918918919</v>
      </c>
    </row>
    <row r="6" spans="1:13" x14ac:dyDescent="0.35">
      <c r="A6" t="s">
        <v>18</v>
      </c>
      <c r="B6" t="s">
        <v>19</v>
      </c>
      <c r="C6">
        <f>_xll.PBF(A6,"Total Revenue","TTM",$B$1,"","USD","",$B$1)</f>
        <v>84933000000</v>
      </c>
      <c r="D6">
        <f>_xll.PBF(A6,"Diluted Weighted Average Shares Outstanding","TTM",$B$1,"","USD","",$B$1)</f>
        <v>2447100000</v>
      </c>
      <c r="E6">
        <f>_xll.PBF(A6,"Net Debt","TTM",$B$1,"","USD","",$B$1)</f>
        <v>24775000000</v>
      </c>
      <c r="F6">
        <f>_xll.PBF(A6,"Adjusted EBITDA","TTM",$B$1,"","USD","",$B$1)</f>
        <v>24815000000</v>
      </c>
      <c r="G6">
        <f>_xll.PBF(A6,"Adjusted EBITDA","NTM",$B$1,"","USD","",$B$1)</f>
        <v>24815000000</v>
      </c>
      <c r="H6">
        <f>_xll.PBF(A6,"Diluted EPS (Analyst Normalized)","NTM",$B$1,"","USD","",$B$1)</f>
        <v>6.85</v>
      </c>
      <c r="I6">
        <f t="shared" ref="I6:I9" ca="1" si="4">G16*D6</f>
        <v>367970427000</v>
      </c>
      <c r="J6">
        <f t="shared" ca="1" si="0"/>
        <v>392745427000</v>
      </c>
      <c r="K6">
        <f t="shared" ca="1" si="1"/>
        <v>15.826936409429781</v>
      </c>
      <c r="L6">
        <f t="shared" ca="1" si="2"/>
        <v>15.826936409429781</v>
      </c>
      <c r="M6">
        <f t="shared" ca="1" si="3"/>
        <v>21.951824817518247</v>
      </c>
    </row>
    <row r="7" spans="1:13" x14ac:dyDescent="0.35">
      <c r="A7" t="s">
        <v>20</v>
      </c>
      <c r="B7" t="s">
        <v>21</v>
      </c>
      <c r="C7">
        <f>_xll.PBF(A7,"Total Revenue","TTM",$B$1,"","USD","",$B$1)</f>
        <v>16471000000</v>
      </c>
      <c r="D7">
        <f>_xll.PBF(A7,"Diluted Weighted Average Shares Outstanding","TTM",$B$1,"","USD","",$B$1)</f>
        <v>333475000</v>
      </c>
      <c r="E7">
        <f>_xll.PBF(A7,"Net Debt","TTM",$B$1,"","USD","",$B$1)</f>
        <v>6687000000</v>
      </c>
      <c r="F7">
        <f>_xll.PBF(A7,"Adjusted EBITDA","TTM",$B$1,"","USD","",$B$1)</f>
        <v>3236000000</v>
      </c>
      <c r="G7">
        <f>_xll.PBF(A7,"Adjusted EBITDA","NTM",$B$1,"","USD","",$B$1)</f>
        <v>3236000000</v>
      </c>
      <c r="H7">
        <f>_xll.PBF(A7,"Diluted EPS (Analyst Normalized)","NTM",$B$1,"","USD","",$B$1)</f>
        <v>5.91</v>
      </c>
      <c r="I7">
        <f t="shared" ca="1" si="4"/>
        <v>39920292250</v>
      </c>
      <c r="J7">
        <f t="shared" ca="1" si="0"/>
        <v>46607292250</v>
      </c>
      <c r="K7">
        <f t="shared" ca="1" si="1"/>
        <v>14.402747914091471</v>
      </c>
      <c r="L7">
        <f t="shared" ca="1" si="2"/>
        <v>14.402747914091471</v>
      </c>
      <c r="M7">
        <f t="shared" ca="1" si="3"/>
        <v>20.255499153976313</v>
      </c>
    </row>
    <row r="8" spans="1:13" x14ac:dyDescent="0.35">
      <c r="A8" t="s">
        <v>22</v>
      </c>
      <c r="B8" t="s">
        <v>23</v>
      </c>
      <c r="C8">
        <f>_xll.PBF(A8,"Total Revenue","TTM",$B$1,"","USD","",$B$1)</f>
        <v>20097000000</v>
      </c>
      <c r="D8">
        <f>_xll.PBF(A8,"Diluted Weighted Average Shares Outstanding","TTM",$B$1,"","USD","",$B$1)</f>
        <v>814650000</v>
      </c>
      <c r="E8">
        <f>_xll.PBF(A8,"Net Debt","TTM",$B$1,"","USD","",$B$1)</f>
        <v>7140000000</v>
      </c>
      <c r="F8">
        <f>_xll.PBF(A8,"Adjusted EBITDA","TTM",$B$1,"","USD","",$B$1)</f>
        <v>4900000000</v>
      </c>
      <c r="G8">
        <f>_xll.PBF(A8,"Adjusted EBITDA","NTM",$B$1,"","USD","",$B$1)</f>
        <v>4900000000</v>
      </c>
      <c r="H8">
        <f>_xll.PBF(A8,"Diluted EPS (Analyst Normalized)","NTM",$B$1,"","USD","",$B$1)</f>
        <v>3.57</v>
      </c>
      <c r="I8">
        <f t="shared" ca="1" si="4"/>
        <v>62768782500</v>
      </c>
      <c r="J8">
        <f t="shared" ca="1" si="0"/>
        <v>69908782500</v>
      </c>
      <c r="K8">
        <f t="shared" ca="1" si="1"/>
        <v>14.267098469387754</v>
      </c>
      <c r="L8">
        <f t="shared" ca="1" si="2"/>
        <v>14.267098469387754</v>
      </c>
      <c r="M8">
        <f t="shared" ca="1" si="3"/>
        <v>21.58263305322129</v>
      </c>
    </row>
    <row r="9" spans="1:13" x14ac:dyDescent="0.35">
      <c r="A9" t="s">
        <v>24</v>
      </c>
      <c r="B9" t="s">
        <v>25</v>
      </c>
      <c r="C9">
        <f>_xll.PBF(A9,"Total Revenue","TTM",$B$1,"","USD","",$B$1)</f>
        <v>6141000000</v>
      </c>
      <c r="D9">
        <f>_xll.PBF(A9,"Diluted Weighted Average Shares Outstanding","TTM",$B$1,"","USD","",$B$1)</f>
        <v>246300000</v>
      </c>
      <c r="E9">
        <f>_xll.PBF(A9,"Net Debt","TTM",$B$1,"","USD","",$B$1)</f>
        <v>1899200000</v>
      </c>
      <c r="F9">
        <f>_xll.PBF(A9,"Adjusted EBITDA","TTM",$B$1,"","USD","",$B$1)</f>
        <v>1453500000</v>
      </c>
      <c r="G9">
        <f>_xll.PBF(A9,"Adjusted EBITDA","NTM",$B$1,"","USD","",$B$1)</f>
        <v>1453500000</v>
      </c>
      <c r="H9">
        <f>_xll.PBF(A9,"Diluted EPS (Analyst Normalized)","NTM",$B$1,"","USD","",$B$1)</f>
        <v>3.18</v>
      </c>
      <c r="I9">
        <f t="shared" ca="1" si="4"/>
        <v>21598047000</v>
      </c>
      <c r="J9">
        <f t="shared" ca="1" si="0"/>
        <v>23497247000</v>
      </c>
      <c r="K9">
        <f t="shared" ca="1" si="1"/>
        <v>16.165976608187133</v>
      </c>
      <c r="L9">
        <f t="shared" ca="1" si="2"/>
        <v>16.165976608187133</v>
      </c>
      <c r="M9">
        <f t="shared" ca="1" si="3"/>
        <v>27.575471698113208</v>
      </c>
    </row>
    <row r="10" spans="1:13" x14ac:dyDescent="0.35">
      <c r="A10" t="s">
        <v>26</v>
      </c>
      <c r="B10" t="s">
        <v>27</v>
      </c>
      <c r="C10">
        <f>_xll.PBF(A10,"Total Revenue","TTM",$B$1,"","USD","",$B$1)</f>
        <v>43843000000</v>
      </c>
      <c r="D10">
        <f>_xll.PBF(A10,"Diluted Weighted Average Shares Outstanding","TTM",$B$1,"","USD","",$B$1)</f>
        <v>1747795250</v>
      </c>
      <c r="E10">
        <f>_xll.PBF(A10,"Net Debt","TTM",$B$1,"","USD","",$B$1)</f>
        <v>5208000000</v>
      </c>
      <c r="F10">
        <f>_xll.PBF(A10,"Adjusted EBITDA","TTM",$B$1,"","USD","",$B$1)</f>
        <v>12119000000</v>
      </c>
      <c r="G10">
        <f>_xll.PBF(A10,"Adjusted EBITDA","NTM",$B$1,"","USD","",$B$1)</f>
        <v>12119000000</v>
      </c>
      <c r="H10">
        <f>_xll.PBF(A10,"Diluted EPS (Analyst Normalized)","NTM",$B$1,"","USD","",$B$1)</f>
        <v>7.98</v>
      </c>
      <c r="I10">
        <f>_xll.PBF(A10,"Market Cap","TTM",$B$1,"","USD","",$B$1)</f>
        <v>214959350088</v>
      </c>
      <c r="J10">
        <f t="shared" si="0"/>
        <v>220167350088</v>
      </c>
      <c r="K10">
        <f t="shared" si="1"/>
        <v>18.167121882003464</v>
      </c>
      <c r="L10">
        <f t="shared" si="2"/>
        <v>18.167121882003464</v>
      </c>
      <c r="M10">
        <f t="shared" si="3"/>
        <v>15.412138187118584</v>
      </c>
    </row>
    <row r="11" spans="1:13" x14ac:dyDescent="0.35">
      <c r="A11" t="s">
        <v>28</v>
      </c>
      <c r="B11" t="s">
        <v>29</v>
      </c>
      <c r="C11">
        <f>_xll.PBF(A11,"Total Revenue","TTM",$B$1,"","USD","",$B$1)</f>
        <v>5892900000</v>
      </c>
      <c r="D11">
        <f>_xll.PBF(A11,"Diluted Weighted Average Shares Outstanding","TTM",$B$1,"","USD","",$B$1)</f>
        <v>870900000</v>
      </c>
      <c r="E11">
        <f>_xll.PBF(A11,"Net Debt","TTM",$B$1,"","USD","",$B$1)</f>
        <v>3988100000</v>
      </c>
      <c r="F11">
        <f>_xll.PBF(A11,"Adjusted EBITDA","TTM",$B$1,"","USD","",$B$1)</f>
        <v>1081700000</v>
      </c>
      <c r="G11">
        <f>_xll.PBF(A11,"Adjusted EBITDA","NTM",$B$1,"","USD","",$B$1)</f>
        <v>1081700000</v>
      </c>
      <c r="H11">
        <f>_xll.PBF(A11,"Diluted EPS (Analyst Normalized)","NTM",$B$1,"","USD","",$B$1)</f>
        <v>-0.44</v>
      </c>
      <c r="I11">
        <f>_xll.PBF(A11,"Market Cap","TTM",$B$1,"","USD","",$B$1)</f>
        <v>3469214184</v>
      </c>
      <c r="J11">
        <f t="shared" si="0"/>
        <v>7457314184</v>
      </c>
      <c r="K11">
        <f t="shared" si="1"/>
        <v>6.8940687658315616</v>
      </c>
      <c r="L11">
        <f t="shared" si="2"/>
        <v>6.8940687658315616</v>
      </c>
      <c r="M11">
        <f t="shared" si="3"/>
        <v>-9.0533674255472398</v>
      </c>
    </row>
    <row r="12" spans="1:13" x14ac:dyDescent="0.35">
      <c r="A12" t="s">
        <v>30</v>
      </c>
      <c r="B12" t="s">
        <v>31</v>
      </c>
      <c r="C12">
        <f>_xll.PBF(A12,"Total Revenue","TTM",$B$1,"","USD","",$B$1)</f>
        <v>2203900000</v>
      </c>
      <c r="D12">
        <f>_xll.PBF(A12,"Diluted Weighted Average Shares Outstanding","TTM",$B$1,"","USD","",$B$1)</f>
        <v>48375000</v>
      </c>
      <c r="E12">
        <f>_xll.PBF(A12,"Net Debt","TTM",$B$1,"","USD","",$B$1)</f>
        <v>1212600000</v>
      </c>
      <c r="F12">
        <f>_xll.PBF(A12,"Adjusted EBITDA","TTM",$B$1,"","USD","",$B$1)</f>
        <v>320500000</v>
      </c>
      <c r="G12">
        <f>_xll.PBF(A12,"Adjusted EBITDA","NTM",$B$1,"","USD","",$B$1)</f>
        <v>320500000</v>
      </c>
      <c r="H12">
        <f>_xll.PBF(A12,"Diluted EPS (Analyst Normalized)","NTM",$B$1,"","USD","",$B$1)</f>
        <v>1.35</v>
      </c>
      <c r="I12">
        <f>_xll.PBF(A12,"Market Cap","TTM",$B$1,"","USD","",$B$1)</f>
        <v>900941691</v>
      </c>
      <c r="J12">
        <f t="shared" si="0"/>
        <v>2113541691</v>
      </c>
      <c r="K12">
        <f t="shared" si="1"/>
        <v>6.5945138564742587</v>
      </c>
      <c r="L12">
        <f t="shared" si="2"/>
        <v>6.5945138564742587</v>
      </c>
      <c r="M12">
        <f t="shared" si="3"/>
        <v>13.795642698822853</v>
      </c>
    </row>
    <row r="15" spans="1:13" x14ac:dyDescent="0.35">
      <c r="G15" cm="1" vm="62">
        <f t="array" aca="1" ref="G15" ca="1">_xlfn.STOCKHISTORY("KVUE",$B$1,$B$1,0,0,1)</f>
        <v>14.37</v>
      </c>
    </row>
    <row r="16" spans="1:13" x14ac:dyDescent="0.35">
      <c r="G16" cm="1" vm="82">
        <f t="array" aca="1" ref="G16" ca="1">_xlfn.STOCKHISTORY("PG",$B$1,$B$1,0,0,1)</f>
        <v>150.37</v>
      </c>
    </row>
    <row r="17" spans="7:7" x14ac:dyDescent="0.35">
      <c r="G17" cm="1" vm="83">
        <f t="array" aca="1" ref="G17" ca="1">_xlfn.STOCKHISTORY("KMB",$B$1,$B$1,0,0,1)</f>
        <v>119.71</v>
      </c>
    </row>
    <row r="18" spans="7:7" x14ac:dyDescent="0.35">
      <c r="G18" cm="1" vm="84">
        <f t="array" aca="1" ref="G18" ca="1">_xlfn.STOCKHISTORY("CL",$B$1,$B$1,0,0,1)</f>
        <v>77.05</v>
      </c>
    </row>
    <row r="19" spans="7:7" x14ac:dyDescent="0.35">
      <c r="G19" cm="1" vm="85">
        <f t="array" aca="1" ref="G19" ca="1">_xlfn.STOCKHISTORY("CHD",$B$1,$B$1,0,0,1)</f>
        <v>87.69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zoomScale="110" zoomScaleNormal="110" workbookViewId="0">
      <selection activeCell="D24" sqref="D24"/>
    </sheetView>
  </sheetViews>
  <sheetFormatPr defaultRowHeight="14.5" x14ac:dyDescent="0.35"/>
  <cols>
    <col min="1" max="7" width="22" customWidth="1"/>
  </cols>
  <sheetData>
    <row r="1" spans="1:7" x14ac:dyDescent="0.35">
      <c r="A1" s="2" t="s">
        <v>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x14ac:dyDescent="0.35">
      <c r="A2" t="s">
        <v>17</v>
      </c>
      <c r="B2">
        <f ca="1">IPO_2023_05_04!L5</f>
        <v>13.782130300610094</v>
      </c>
      <c r="C2">
        <f ca="1">Post1Y_2024_05_04!L5</f>
        <v>13.153584672435105</v>
      </c>
      <c r="D2">
        <f ca="1">PreDeal_2025_10_31!L5</f>
        <v>10.488817858202314</v>
      </c>
      <c r="E2">
        <f ca="1">IPO_2023_05_04!M5</f>
        <v>28.924731182795696</v>
      </c>
      <c r="F2">
        <f ca="1">Post1Y_2024_05_04!M5</f>
        <v>21.333333333333332</v>
      </c>
      <c r="G2">
        <f ca="1">PreDeal_2025_10_31!M5</f>
        <v>19.418918918918919</v>
      </c>
    </row>
    <row r="3" spans="1:7" x14ac:dyDescent="0.35">
      <c r="A3" t="s">
        <v>19</v>
      </c>
      <c r="B3">
        <f ca="1">IPO_2023_05_04!L6</f>
        <v>19.442382424242425</v>
      </c>
      <c r="C3">
        <f ca="1">Post1Y_2024_05_04!L6</f>
        <v>17.807565556196916</v>
      </c>
      <c r="D3">
        <f ca="1">PreDeal_2025_10_31!L6</f>
        <v>15.826936409429781</v>
      </c>
      <c r="E3">
        <f ca="1">IPO_2023_05_04!M6</f>
        <v>27.092334494773517</v>
      </c>
      <c r="F3">
        <f ca="1">Post1Y_2024_05_04!M6</f>
        <v>26.872549019607842</v>
      </c>
      <c r="G3">
        <f ca="1">PreDeal_2025_10_31!M6</f>
        <v>21.951824817518247</v>
      </c>
    </row>
    <row r="4" spans="1:7" x14ac:dyDescent="0.35">
      <c r="A4" t="s">
        <v>21</v>
      </c>
      <c r="B4">
        <f ca="1">IPO_2023_05_04!L7</f>
        <v>15.680282560706402</v>
      </c>
      <c r="C4">
        <f ca="1">Post1Y_2024_05_04!L7</f>
        <v>15.591586653970115</v>
      </c>
      <c r="D4">
        <f ca="1">PreDeal_2025_10_31!L7</f>
        <v>14.402747914091471</v>
      </c>
      <c r="E4">
        <f ca="1">IPO_2023_05_04!M7</f>
        <v>24.727739726027398</v>
      </c>
      <c r="F4">
        <f ca="1">Post1Y_2024_05_04!M7</f>
        <v>25.016544117647054</v>
      </c>
      <c r="G4">
        <f ca="1">PreDeal_2025_10_31!M7</f>
        <v>20.255499153976313</v>
      </c>
    </row>
    <row r="5" spans="1:7" x14ac:dyDescent="0.35">
      <c r="A5" t="s">
        <v>23</v>
      </c>
      <c r="B5">
        <f ca="1">IPO_2023_05_04!L8</f>
        <v>19.165958100912778</v>
      </c>
      <c r="C5">
        <f ca="1">Post1Y_2024_05_04!L8</f>
        <v>17.688216544502616</v>
      </c>
      <c r="D5">
        <f ca="1">PreDeal_2025_10_31!L8</f>
        <v>14.267098469387754</v>
      </c>
      <c r="E5">
        <f ca="1">IPO_2023_05_04!M8</f>
        <v>42.078125000000007</v>
      </c>
      <c r="F5">
        <f ca="1">Post1Y_2024_05_04!M8</f>
        <v>29.39240506329114</v>
      </c>
      <c r="G5">
        <f ca="1">PreDeal_2025_10_31!M8</f>
        <v>21.58263305322129</v>
      </c>
    </row>
    <row r="6" spans="1:7" x14ac:dyDescent="0.35">
      <c r="A6" t="s">
        <v>25</v>
      </c>
      <c r="B6">
        <f ca="1">IPO_2023_05_04!L9</f>
        <v>20.05044608105014</v>
      </c>
      <c r="C6">
        <f ca="1">Post1Y_2024_05_04!L9</f>
        <v>20.508766870941855</v>
      </c>
      <c r="D6">
        <f ca="1">PreDeal_2025_10_31!L9</f>
        <v>16.165976608187133</v>
      </c>
      <c r="E6">
        <f ca="1">IPO_2023_05_04!M9</f>
        <v>58.479041916167667</v>
      </c>
      <c r="F6">
        <f ca="1">Post1Y_2024_05_04!M9</f>
        <v>33.685714285714283</v>
      </c>
      <c r="G6">
        <f ca="1">PreDeal_2025_10_31!M9</f>
        <v>27.575471698113208</v>
      </c>
    </row>
    <row r="7" spans="1:7" x14ac:dyDescent="0.35">
      <c r="A7" t="s">
        <v>27</v>
      </c>
      <c r="B7">
        <f>IPO_2023_05_04!L10</f>
        <v>17.849606897083742</v>
      </c>
      <c r="C7">
        <f>Post1Y_2024_05_04!L10</f>
        <v>17.94566819929025</v>
      </c>
      <c r="D7">
        <f>PreDeal_2025_10_31!L10</f>
        <v>18.167121882003464</v>
      </c>
      <c r="E7">
        <f>IPO_2023_05_04!M10</f>
        <v>33.325291960202165</v>
      </c>
      <c r="F7">
        <f>Post1Y_2024_05_04!M10</f>
        <v>32.823661858858003</v>
      </c>
      <c r="G7">
        <f>PreDeal_2025_10_31!M10</f>
        <v>15.412138187118584</v>
      </c>
    </row>
    <row r="8" spans="1:7" x14ac:dyDescent="0.35">
      <c r="A8" t="s">
        <v>29</v>
      </c>
      <c r="B8">
        <f>IPO_2023_05_04!L11</f>
        <v>14.969473873883453</v>
      </c>
      <c r="C8">
        <f>Post1Y_2024_05_04!L11</f>
        <v>13.132522169775768</v>
      </c>
      <c r="D8">
        <f>PreDeal_2025_10_31!L11</f>
        <v>6.8940687658315616</v>
      </c>
      <c r="E8">
        <f>IPO_2023_05_04!M11</f>
        <v>81.802430536372</v>
      </c>
      <c r="F8">
        <f>Post1Y_2024_05_04!M11</f>
        <v>33.489620018383242</v>
      </c>
      <c r="G8">
        <f>PreDeal_2025_10_31!M11</f>
        <v>-9.0533674255472398</v>
      </c>
    </row>
    <row r="9" spans="1:7" x14ac:dyDescent="0.35">
      <c r="A9" t="s">
        <v>31</v>
      </c>
      <c r="B9">
        <f>IPO_2023_05_04!L12</f>
        <v>10.923401187878788</v>
      </c>
      <c r="C9">
        <f>Post1Y_2024_05_04!L12</f>
        <v>9.4080934159450589</v>
      </c>
      <c r="D9">
        <f>PreDeal_2025_10_31!L12</f>
        <v>6.5945138564742587</v>
      </c>
      <c r="E9">
        <f>IPO_2023_05_04!M12</f>
        <v>22.366327919364419</v>
      </c>
      <c r="F9">
        <f>Post1Y_2024_05_04!M12</f>
        <v>17.817944512062802</v>
      </c>
      <c r="G9">
        <f>PreDeal_2025_10_31!M12</f>
        <v>13.795642698822853</v>
      </c>
    </row>
    <row r="12" spans="1:7" x14ac:dyDescent="0.35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45</v>
      </c>
      <c r="F12" s="3" t="s">
        <v>46</v>
      </c>
      <c r="G12" s="3" t="s">
        <v>47</v>
      </c>
    </row>
    <row r="13" spans="1:7" x14ac:dyDescent="0.35">
      <c r="A13" t="s">
        <v>48</v>
      </c>
      <c r="B13" s="4">
        <f ca="1">AVERAGE(B3:B9)</f>
        <v>16.868793017965391</v>
      </c>
      <c r="C13" s="4">
        <f t="shared" ref="C13:D13" ca="1" si="0">AVERAGE(C3:C9)</f>
        <v>16.011774201517515</v>
      </c>
      <c r="D13" s="4">
        <f t="shared" ca="1" si="0"/>
        <v>13.188351986486492</v>
      </c>
      <c r="E13" s="4">
        <f ca="1">MEDIAN(B3:B6)</f>
        <v>19.3041702625776</v>
      </c>
      <c r="F13" s="4">
        <f t="shared" ref="F13:G13" ca="1" si="1">MEDIAN(C3:C6)</f>
        <v>17.747891050349764</v>
      </c>
      <c r="G13" s="4">
        <f t="shared" ca="1" si="1"/>
        <v>15.114842161760626</v>
      </c>
    </row>
    <row r="14" spans="1:7" x14ac:dyDescent="0.35">
      <c r="A14" t="s">
        <v>49</v>
      </c>
      <c r="B14" s="4">
        <f ca="1">B2</f>
        <v>13.782130300610094</v>
      </c>
      <c r="C14" s="4">
        <f ca="1">C2</f>
        <v>13.153584672435105</v>
      </c>
      <c r="D14" s="4">
        <f ca="1">D2</f>
        <v>10.488817858202314</v>
      </c>
      <c r="E14" s="4">
        <f ca="1">B2</f>
        <v>13.782130300610094</v>
      </c>
      <c r="F14" s="4">
        <f ca="1">C2</f>
        <v>13.153584672435105</v>
      </c>
      <c r="G14" s="4">
        <f ca="1">D2</f>
        <v>10.488817858202314</v>
      </c>
    </row>
    <row r="15" spans="1:7" x14ac:dyDescent="0.35">
      <c r="A15" t="s">
        <v>50</v>
      </c>
      <c r="B15" s="5">
        <f ca="1">IFERROR(B2/B13-1,"")</f>
        <v>-0.18298065036828526</v>
      </c>
      <c r="C15" s="5">
        <f ca="1">IFERROR(C2/C13-1,"")</f>
        <v>-0.17850548559518931</v>
      </c>
      <c r="D15" s="5">
        <f ca="1">IFERROR(D2/D13-1,"")</f>
        <v>-0.20469078555457643</v>
      </c>
      <c r="E15" s="5">
        <f ca="1">IFERROR(B2/E13-1,"")</f>
        <v>-0.28605425080985447</v>
      </c>
      <c r="F15" s="5">
        <f ca="1">IFERROR(C2/F13-1,"")</f>
        <v>-0.25886491892928976</v>
      </c>
      <c r="G15" s="5">
        <f ca="1">IFERROR(D2/G13-1,"")</f>
        <v>-0.30605839307153293</v>
      </c>
    </row>
    <row r="17" spans="1:7" x14ac:dyDescent="0.35">
      <c r="A17" t="s">
        <v>51</v>
      </c>
      <c r="B17" s="4">
        <f ca="1">AVERAGE(E3:E9)</f>
        <v>41.410184507558178</v>
      </c>
      <c r="C17" s="4">
        <f ca="1">AVERAGE(F3:F9)</f>
        <v>28.442634125080623</v>
      </c>
      <c r="D17" s="4">
        <f ca="1">AVERAGE(G3:G9)</f>
        <v>15.931406026174752</v>
      </c>
      <c r="E17" s="4">
        <f ca="1">MEDIAN(E3:E6)</f>
        <v>34.585229747386762</v>
      </c>
      <c r="F17" s="4">
        <f t="shared" ref="F17:G17" ca="1" si="2">MEDIAN(F3:F6)</f>
        <v>28.132477041449491</v>
      </c>
      <c r="G17" s="4">
        <f t="shared" ca="1" si="2"/>
        <v>21.767228935369769</v>
      </c>
    </row>
    <row r="18" spans="1:7" x14ac:dyDescent="0.35">
      <c r="A18" t="s">
        <v>52</v>
      </c>
      <c r="B18" s="4">
        <f ca="1">E2</f>
        <v>28.924731182795696</v>
      </c>
      <c r="C18" s="4">
        <f ca="1">F2</f>
        <v>21.333333333333332</v>
      </c>
      <c r="D18" s="4">
        <f ca="1">G2</f>
        <v>19.418918918918919</v>
      </c>
      <c r="E18" s="4">
        <f ca="1">E2</f>
        <v>28.924731182795696</v>
      </c>
      <c r="F18" s="4">
        <f ca="1">F2</f>
        <v>21.333333333333332</v>
      </c>
      <c r="G18" s="4">
        <f ca="1">G2</f>
        <v>19.418918918918919</v>
      </c>
    </row>
    <row r="19" spans="1:7" x14ac:dyDescent="0.35">
      <c r="A19" t="s">
        <v>50</v>
      </c>
      <c r="B19" s="5">
        <f ca="1">IFERROR(E2/B17-1,"")</f>
        <v>-0.30150682671997364</v>
      </c>
      <c r="C19" s="5">
        <f ca="1">IFERROR(F2/C17-1,"")</f>
        <v>-0.24995226393178305</v>
      </c>
      <c r="D19" s="5">
        <f ca="1">IFERROR(G2/D17-1,"")</f>
        <v>0.21890804157613597</v>
      </c>
      <c r="E19" s="5">
        <f ca="1">IFERROR(E2/E17-1,"")</f>
        <v>-0.16366809201314525</v>
      </c>
      <c r="F19" s="5">
        <f ca="1">IFERROR(F2/F17-1,"")</f>
        <v>-0.24168308030958374</v>
      </c>
      <c r="G19" s="5">
        <f ca="1">IFERROR(G2/G17-1,"")</f>
        <v>-0.10788281886607343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IPO_2023_05_04</vt:lpstr>
      <vt:lpstr>Post1Y_2024_05_04</vt:lpstr>
      <vt:lpstr>PreDeal_2025_10_31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Jain, Lakshita</cp:lastModifiedBy>
  <dcterms:created xsi:type="dcterms:W3CDTF">2026-04-04T17:29:50Z</dcterms:created>
  <dcterms:modified xsi:type="dcterms:W3CDTF">2026-04-14T19:19:39Z</dcterms:modified>
</cp:coreProperties>
</file>