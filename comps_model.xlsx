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uftscloud-my.sharepoint.com/personal/ljain01_tufts_edu/Documents/University/Spring 26/EC157/"/>
    </mc:Choice>
  </mc:AlternateContent>
  <xr:revisionPtr revIDLastSave="76" documentId="14_{713D5AC3-7970-433E-90F7-DEBCFE422BA0}" xr6:coauthVersionLast="47" xr6:coauthVersionMax="47" xr10:uidLastSave="{4A3A385F-DF3A-496B-B9A2-4486BC0A4A71}"/>
  <bookViews>
    <workbookView xWindow="-120" yWindow="-120" windowWidth="29040" windowHeight="15720" activeTab="4" xr2:uid="{00000000-000D-0000-FFFF-FFFF00000000}"/>
  </bookViews>
  <sheets>
    <sheet name="IPO_2023_05_04" sheetId="1" r:id="rId1"/>
    <sheet name="Post1Y_2024_05_04" sheetId="2" r:id="rId2"/>
    <sheet name="PreDeal_2025_10_31" sheetId="4" r:id="rId3"/>
    <sheet name="PB_CACHE" sheetId="6" state="veryHidden" r:id="rId4"/>
    <sheet name="Summary" sheetId="5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4" l="1"/>
  <c r="I7" i="4"/>
  <c r="I8" i="4"/>
  <c r="I9" i="4"/>
  <c r="I5" i="4"/>
  <c r="I6" i="2"/>
  <c r="I7" i="2"/>
  <c r="I8" i="2"/>
  <c r="I9" i="2"/>
  <c r="I5" i="2"/>
  <c r="I6" i="1"/>
  <c r="I7" i="1"/>
  <c r="I8" i="1"/>
  <c r="I9" i="1"/>
  <c r="I5" i="1"/>
  <c r="H7" i="2"/>
  <c r="G6" i="2"/>
  <c r="F5" i="2"/>
  <c r="I12" i="4"/>
  <c r="H11" i="4"/>
  <c r="G10" i="4"/>
  <c r="F9" i="4"/>
  <c r="E8" i="4"/>
  <c r="D7" i="4"/>
  <c r="C6" i="4"/>
  <c r="I10" i="2"/>
  <c r="G8" i="2"/>
  <c r="E6" i="2"/>
  <c r="F11" i="4"/>
  <c r="D9" i="4"/>
  <c r="I11" i="2"/>
  <c r="F8" i="2"/>
  <c r="D6" i="2"/>
  <c r="E11" i="4"/>
  <c r="C9" i="4"/>
  <c r="I12" i="2"/>
  <c r="G10" i="2"/>
  <c r="E8" i="2"/>
  <c r="C6" i="2"/>
  <c r="D11" i="4"/>
  <c r="G11" i="2"/>
  <c r="E9" i="2"/>
  <c r="C7" i="2"/>
  <c r="D12" i="4"/>
  <c r="F11" i="2"/>
  <c r="D9" i="2"/>
  <c r="C12" i="4"/>
  <c r="H5" i="4"/>
  <c r="H8" i="2"/>
  <c r="G7" i="2"/>
  <c r="F6" i="2"/>
  <c r="E5" i="2"/>
  <c r="H12" i="4"/>
  <c r="G11" i="4"/>
  <c r="F10" i="4"/>
  <c r="E9" i="4"/>
  <c r="D8" i="4"/>
  <c r="C7" i="4"/>
  <c r="H9" i="2"/>
  <c r="F7" i="2"/>
  <c r="D5" i="2"/>
  <c r="G12" i="4"/>
  <c r="E10" i="4"/>
  <c r="C8" i="4"/>
  <c r="H10" i="2"/>
  <c r="G9" i="2"/>
  <c r="E7" i="2"/>
  <c r="C5" i="2"/>
  <c r="F12" i="4"/>
  <c r="D10" i="4"/>
  <c r="H11" i="2"/>
  <c r="F9" i="2"/>
  <c r="D7" i="2"/>
  <c r="E12" i="4"/>
  <c r="C10" i="4"/>
  <c r="H12" i="2"/>
  <c r="F10" i="2"/>
  <c r="D8" i="2"/>
  <c r="C11" i="4"/>
  <c r="G12" i="2"/>
  <c r="E10" i="2"/>
  <c r="C8" i="2"/>
  <c r="D10" i="2"/>
  <c r="G5" i="2"/>
  <c r="F8" i="4"/>
  <c r="F5" i="4"/>
  <c r="C5" i="4"/>
  <c r="H6" i="2"/>
  <c r="H8" i="4"/>
  <c r="H5" i="2"/>
  <c r="C10" i="2"/>
  <c r="I10" i="4"/>
  <c r="E5" i="4"/>
  <c r="G6" i="4"/>
  <c r="D11" i="2"/>
  <c r="C11" i="2"/>
  <c r="F12" i="2"/>
  <c r="H10" i="4"/>
  <c r="H7" i="4"/>
  <c r="D5" i="4"/>
  <c r="E12" i="2"/>
  <c r="G7" i="4"/>
  <c r="H9" i="4"/>
  <c r="E11" i="2"/>
  <c r="F6" i="4"/>
  <c r="E6" i="4"/>
  <c r="D6" i="4"/>
  <c r="G5" i="4"/>
  <c r="D12" i="2"/>
  <c r="F7" i="4"/>
  <c r="C12" i="2"/>
  <c r="C9" i="2"/>
  <c r="E7" i="4"/>
  <c r="H6" i="4"/>
  <c r="G9" i="4"/>
  <c r="I11" i="4"/>
  <c r="G8" i="4"/>
  <c r="G18" i="4" a="1"/>
  <c r="G19" i="4" a="1"/>
  <c r="G17" i="4" a="1"/>
  <c r="G16" i="4" a="1"/>
  <c r="G15" i="4" a="1"/>
  <c r="D20" i="2" a="1"/>
  <c r="D19" i="2" a="1"/>
  <c r="D18" i="2" a="1"/>
  <c r="D17" i="2" a="1"/>
  <c r="D16" i="2" a="1"/>
  <c r="D20" i="1" a="1"/>
  <c r="D19" i="1" a="1"/>
  <c r="D18" i="1" a="1"/>
  <c r="D17" i="1" a="1"/>
  <c r="D16" i="1" a="1"/>
  <c r="E12" i="1"/>
  <c r="D12" i="1"/>
  <c r="E11" i="1"/>
  <c r="C6" i="1"/>
  <c r="H8" i="1"/>
  <c r="G12" i="1"/>
  <c r="F6" i="1"/>
  <c r="C8" i="1"/>
  <c r="G9" i="1"/>
  <c r="E5" i="1"/>
  <c r="C5" i="1"/>
  <c r="H10" i="1"/>
  <c r="D11" i="1"/>
  <c r="C12" i="1"/>
  <c r="C11" i="1"/>
  <c r="H12" i="1"/>
  <c r="F10" i="1"/>
  <c r="C9" i="1"/>
  <c r="F12" i="1"/>
  <c r="C10" i="1"/>
  <c r="H5" i="1"/>
  <c r="I10" i="1"/>
  <c r="F5" i="1"/>
  <c r="G8" i="1"/>
  <c r="G6" i="1"/>
  <c r="H9" i="1"/>
  <c r="I11" i="1"/>
  <c r="I12" i="1"/>
  <c r="E6" i="1"/>
  <c r="D5" i="1"/>
  <c r="E10" i="1"/>
  <c r="E8" i="1"/>
  <c r="D6" i="1"/>
  <c r="D10" i="1"/>
  <c r="D9" i="1"/>
  <c r="G11" i="1"/>
  <c r="F9" i="1"/>
  <c r="F8" i="1"/>
  <c r="G5" i="1"/>
  <c r="H6" i="1"/>
  <c r="G10" i="1"/>
  <c r="H11" i="1"/>
  <c r="F11" i="1"/>
  <c r="E9" i="1"/>
  <c r="D8" i="1"/>
  <c r="H7" i="1"/>
  <c r="E7" i="1"/>
  <c r="C7" i="1"/>
  <c r="F7" i="1"/>
  <c r="D7" i="1"/>
  <c r="G7" i="1"/>
  <c r="G18" i="4" l="1"/>
  <c r="G19" i="4"/>
  <c r="G17" i="4"/>
  <c r="G16" i="4"/>
  <c r="G15" i="4"/>
  <c r="D20" i="2"/>
  <c r="D19" i="2"/>
  <c r="D18" i="2"/>
  <c r="D17" i="2"/>
  <c r="D16" i="2"/>
  <c r="D20" i="1"/>
  <c r="D19" i="1"/>
  <c r="D18" i="1"/>
  <c r="D17" i="1"/>
  <c r="D16" i="1"/>
  <c r="M5" i="2"/>
  <c r="F2" i="5" s="1"/>
  <c r="J5" i="2"/>
  <c r="J11" i="4"/>
  <c r="M11" i="4"/>
  <c r="G8" i="5" s="1"/>
  <c r="M6" i="2"/>
  <c r="F3" i="5" s="1"/>
  <c r="J6" i="2"/>
  <c r="M9" i="4"/>
  <c r="G6" i="5" s="1"/>
  <c r="J9" i="4"/>
  <c r="M12" i="1"/>
  <c r="E9" i="5" s="1"/>
  <c r="J12" i="1"/>
  <c r="J7" i="2"/>
  <c r="M7" i="2"/>
  <c r="F4" i="5" s="1"/>
  <c r="J7" i="4"/>
  <c r="M7" i="4"/>
  <c r="G4" i="5" s="1"/>
  <c r="M10" i="4"/>
  <c r="G7" i="5" s="1"/>
  <c r="J10" i="4"/>
  <c r="M8" i="4"/>
  <c r="G5" i="5" s="1"/>
  <c r="J8" i="4"/>
  <c r="M11" i="1"/>
  <c r="E8" i="5" s="1"/>
  <c r="J11" i="1"/>
  <c r="M6" i="4"/>
  <c r="G3" i="5" s="1"/>
  <c r="J6" i="4"/>
  <c r="M9" i="1"/>
  <c r="E6" i="5" s="1"/>
  <c r="J9" i="1"/>
  <c r="M8" i="1"/>
  <c r="E5" i="5" s="1"/>
  <c r="J8" i="1"/>
  <c r="J6" i="1"/>
  <c r="M6" i="1"/>
  <c r="E3" i="5" s="1"/>
  <c r="J5" i="1"/>
  <c r="M5" i="1"/>
  <c r="E2" i="5" s="1"/>
  <c r="J9" i="2"/>
  <c r="M9" i="2"/>
  <c r="F6" i="5" s="1"/>
  <c r="M10" i="1"/>
  <c r="E7" i="5" s="1"/>
  <c r="J10" i="1"/>
  <c r="M5" i="4"/>
  <c r="G2" i="5" s="1"/>
  <c r="J5" i="4"/>
  <c r="M12" i="2"/>
  <c r="F9" i="5" s="1"/>
  <c r="J12" i="2"/>
  <c r="J7" i="1"/>
  <c r="M7" i="1"/>
  <c r="E4" i="5" s="1"/>
  <c r="J11" i="2"/>
  <c r="M11" i="2"/>
  <c r="F8" i="5" s="1"/>
  <c r="J10" i="2"/>
  <c r="M10" i="2"/>
  <c r="F7" i="5" s="1"/>
  <c r="M12" i="4"/>
  <c r="G9" i="5" s="1"/>
  <c r="J12" i="4"/>
  <c r="M8" i="2"/>
  <c r="F5" i="5" s="1"/>
  <c r="J8" i="2"/>
  <c r="G17" i="5" l="1"/>
  <c r="G13" i="5"/>
  <c r="D17" i="5"/>
  <c r="F17" i="5"/>
  <c r="F19" i="5" s="1"/>
  <c r="F13" i="5"/>
  <c r="C17" i="5"/>
  <c r="E13" i="5"/>
  <c r="E17" i="5"/>
  <c r="E19" i="5" s="1"/>
  <c r="B17" i="5"/>
  <c r="B19" i="5" s="1"/>
  <c r="K10" i="4"/>
  <c r="L10" i="4"/>
  <c r="D7" i="5" s="1"/>
  <c r="L7" i="1"/>
  <c r="B4" i="5" s="1"/>
  <c r="K7" i="1"/>
  <c r="K6" i="1"/>
  <c r="L6" i="1"/>
  <c r="B3" i="5" s="1"/>
  <c r="L11" i="4"/>
  <c r="D8" i="5" s="1"/>
  <c r="K11" i="4"/>
  <c r="L12" i="2"/>
  <c r="C9" i="5" s="1"/>
  <c r="K12" i="2"/>
  <c r="L8" i="1"/>
  <c r="B5" i="5" s="1"/>
  <c r="K8" i="1"/>
  <c r="L5" i="2"/>
  <c r="C2" i="5" s="1"/>
  <c r="K5" i="2"/>
  <c r="L7" i="4"/>
  <c r="D4" i="5" s="1"/>
  <c r="K7" i="4"/>
  <c r="L8" i="2"/>
  <c r="C5" i="5" s="1"/>
  <c r="K8" i="2"/>
  <c r="L5" i="4"/>
  <c r="D2" i="5" s="1"/>
  <c r="K5" i="4"/>
  <c r="L9" i="1"/>
  <c r="B6" i="5" s="1"/>
  <c r="K9" i="1"/>
  <c r="G19" i="5"/>
  <c r="D19" i="5"/>
  <c r="G18" i="5"/>
  <c r="D18" i="5"/>
  <c r="K7" i="2"/>
  <c r="L7" i="2"/>
  <c r="C4" i="5" s="1"/>
  <c r="K12" i="4"/>
  <c r="L12" i="4"/>
  <c r="D9" i="5" s="1"/>
  <c r="L10" i="1"/>
  <c r="B7" i="5" s="1"/>
  <c r="K10" i="1"/>
  <c r="K6" i="4"/>
  <c r="L6" i="4"/>
  <c r="D3" i="5" s="1"/>
  <c r="K12" i="1"/>
  <c r="L12" i="1"/>
  <c r="B9" i="5" s="1"/>
  <c r="L11" i="1"/>
  <c r="B8" i="5" s="1"/>
  <c r="K11" i="1"/>
  <c r="L9" i="4"/>
  <c r="D6" i="5" s="1"/>
  <c r="K9" i="4"/>
  <c r="K10" i="2"/>
  <c r="L10" i="2"/>
  <c r="C7" i="5" s="1"/>
  <c r="L9" i="2"/>
  <c r="C6" i="5" s="1"/>
  <c r="K9" i="2"/>
  <c r="E18" i="5"/>
  <c r="B18" i="5"/>
  <c r="L8" i="4"/>
  <c r="D5" i="5" s="1"/>
  <c r="K8" i="4"/>
  <c r="L6" i="2"/>
  <c r="C3" i="5" s="1"/>
  <c r="K6" i="2"/>
  <c r="L11" i="2"/>
  <c r="C8" i="5" s="1"/>
  <c r="K11" i="2"/>
  <c r="L5" i="1"/>
  <c r="B2" i="5" s="1"/>
  <c r="K5" i="1"/>
  <c r="C19" i="5"/>
  <c r="F18" i="5"/>
  <c r="C18" i="5"/>
  <c r="B13" i="5" l="1"/>
  <c r="B15" i="5" s="1"/>
  <c r="C13" i="5"/>
  <c r="C15" i="5" s="1"/>
  <c r="D13" i="5"/>
  <c r="E15" i="5"/>
  <c r="B14" i="5"/>
  <c r="E14" i="5"/>
  <c r="G15" i="5"/>
  <c r="G14" i="5"/>
  <c r="D15" i="5"/>
  <c r="D14" i="5"/>
  <c r="F14" i="5"/>
  <c r="F15" i="5"/>
  <c r="C14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cellMetadata count="1">
    <bk>
      <rc t="1" v="0"/>
    </bk>
  </cellMetadata>
  <valueMetadata count="1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</valueMetadata>
</metadata>
</file>

<file path=xl/sharedStrings.xml><?xml version="1.0" encoding="utf-8"?>
<sst xmlns="http://schemas.openxmlformats.org/spreadsheetml/2006/main" count="125" uniqueCount="54">
  <si>
    <t>Snapshot Date</t>
  </si>
  <si>
    <t>2025-10-31</t>
  </si>
  <si>
    <t>Use same date for Date + Effective Date in all formulas</t>
  </si>
  <si>
    <t>Identifier</t>
  </si>
  <si>
    <t>Company</t>
  </si>
  <si>
    <t>Revenue TTM</t>
  </si>
  <si>
    <t>Shares Outstanding</t>
  </si>
  <si>
    <t>Net Debt</t>
  </si>
  <si>
    <t>EBITDA TTM</t>
  </si>
  <si>
    <t>EBITDA NTM</t>
  </si>
  <si>
    <t>Diluted EPS (Analyst Normalized)</t>
  </si>
  <si>
    <t>Market Cap</t>
  </si>
  <si>
    <t>Enterprise Value</t>
  </si>
  <si>
    <t>EV/LTM</t>
  </si>
  <si>
    <t>EV/NTM</t>
  </si>
  <si>
    <t>P/NTM</t>
  </si>
  <si>
    <t>NYS:KVUE</t>
  </si>
  <si>
    <t>Kenvue</t>
  </si>
  <si>
    <t>NYS:PG</t>
  </si>
  <si>
    <t>Procter &amp; Gamble</t>
  </si>
  <si>
    <t>NAS:KMB</t>
  </si>
  <si>
    <t>Kimberly-Clark</t>
  </si>
  <si>
    <t>NYS:CL</t>
  </si>
  <si>
    <t>Colgate-Palmolive</t>
  </si>
  <si>
    <t>NYS:CHD</t>
  </si>
  <si>
    <t>Church &amp; Dwight</t>
  </si>
  <si>
    <t>NYS:ABT</t>
  </si>
  <si>
    <t>Abbott Laboratories</t>
  </si>
  <si>
    <t>NYS:COTY</t>
  </si>
  <si>
    <t>Coty</t>
  </si>
  <si>
    <t>NYS:EPC</t>
  </si>
  <si>
    <t>Edgewell Personal Care</t>
  </si>
  <si>
    <t>2023-05-04</t>
  </si>
  <si>
    <t>Diluted EPS</t>
  </si>
  <si>
    <t>2024-05-04</t>
  </si>
  <si>
    <t>IPO EV/NTM</t>
  </si>
  <si>
    <t>1Y EV/NTM</t>
  </si>
  <si>
    <t>Pre-Deal EV/NTM</t>
  </si>
  <si>
    <t>IPO P/E</t>
  </si>
  <si>
    <t>1Y P/E</t>
  </si>
  <si>
    <t>Pre-Deal P/E</t>
  </si>
  <si>
    <t>Metric</t>
  </si>
  <si>
    <t>IPO (All Comps)</t>
  </si>
  <si>
    <t>1Y (All Comps)</t>
  </si>
  <si>
    <t>Pre-Deal (All Comps)</t>
  </si>
  <si>
    <t>IPO (Core Excl.)</t>
  </si>
  <si>
    <t>1Y (Core Excl.)</t>
  </si>
  <si>
    <t>Pre-Deal (Core Excl.)</t>
  </si>
  <si>
    <t>Peer Median EV/NTM</t>
  </si>
  <si>
    <t>KVUE EV/NTM</t>
  </si>
  <si>
    <t>KVUE Discount to Median</t>
  </si>
  <si>
    <t>Peer Median P/NTM</t>
  </si>
  <si>
    <t>KVUE P/NTM</t>
  </si>
  <si>
    <t>H4sIAAAAAAAEAO2dCXxN1/bHc865pqBqKFpKzEFEIklRU2QQQyQhQY2RxCXhStKbRBtapa2WTlqqSgdaFK+oGh4dKIoaq2ipoW0MrbHqGfq8Ev3vfXPX9dsnd597cuN9Pv/P+4hPyZH4/tbee+2191l77dRH8fHx+Zt98D/5RyWV/dYnISM3LT0iK2uMX1J+tjXHLzYj1Z5izw/w62+152RkZXZqE9TmkcBg9isowC8yz5abZ7d2yrTm5dpTbAF+CXmptoy0Xtb8pKwx1sxOmXk2WxnOT3Rhkx3YZCc2MNFqz0ixZYxPSbVZI1PS0q3F/6ZlUlZ2rHWc1eZ4ispIy2VmsH9rYdxyTqvKR2aNzU6xW+3lu6fkpCdmjLdWZkb0T7HlWRNSMuw5PpqPVn6Gkpifk2sdGxiZZbNZHZicwBhrJhNMoz+jH89j4rn5xBsePHiw818l5tozMkcF+I3NScuy2zJS73RJaGAQ/+W5P1Lbtk0JSwt7JLh9SKg1qF37oUPL/0M1MArbMLzNf9WSgMGlGSLd0DC5u+1GQ4cOHsodVGP/VdDoE+4DFv7Z/8ex5ZOqHLfQR3Haqy25N9omR9tyk4Wme91ltrscU2OMNb/MON4liqXXXTSYs8uWZb/d1yMhPpnZFpIcFJYcFFqhHHftG2yc+FiVrcCeqiZk5eQGD+TfFOr8Jl/+Tdfpmyqxp2oJdmuUNcXGvyssOTgoOSS4QmX292U4724a/r+xQnz0vzMJRrClPCPtv7g6DKLVYRv/pAp3Pe5/3LH60JcG8k+q8i9Vdn4pQfhSdf63VShsc6K28N4QmAnZF9kMv9dV3oTrmLtkrCNUP8B+6xA3MPHR6ITIqAxbXq51hF9iOotVOX7xebk5uSmZI1h3JyX1DgprHRTamgf0folR/I9WQWGtgkIr1WKArt2y7GNTcnNKsfE/z9zhbjWMz86aHR3O03lMcnJEStoY1oZuGVbbiLodo6w5afaMbO5r+i/W6ljUDv3fq4qlurOFgQ5q0QNvuaMPa/PlrlG3HtGxUXHxSd3i+8VF+ZY5wxrk7l/xOFHOMZLJyT7lazk3e8pv7Nv5lChbhz015wPSNSIpzprrF2VNzZV3v3Ka/Rved+X5muu3zH6zq69yij1z+TIcfJLA9dlTWw7u1b9fdO8U+xgGj0zJzsh19CPvDwOZAqdMBd5WX+Vnp4LD9J9IoTF7io3ryhR6R5AvDbBmjErnn3QdZ7WnjLKWyLmUY9g6n5kt17DWHcXWHSFtf/bU0tltdxpngD58Bz3plSsxj3eL8FUOIfoHQgewp2bOKRId0SMpqmucHHsQLS6YEvMps/gAYvcTNogsjuweZcrifYD2X2JrW5NZ/C2i9xI6lNAJMY7u9ktgAdVqgN4tDu9OpO4gantHPxQNr8d+2I79MP/sknOsH7YhdithOzkikOg1JXKSLaLxm9A3vyKVCJpWrLdNTKsNaH74J88WMPO/RPO/IHA39tTaAY5PGpiUxWaTX1/rOGtmnlF/f4b4RyvPv8rw6xG/jvA92VNHp/P1ZvtlBk+zZuYWjahfttVe1FcGWmudWmVj3YQpZTWqriLVeG5WkQN5NSQrxSFZgUOynESS2FNj8qeERANn+ljELUXcEsINpJ7i8c0rqz8SZRaizAKSGeaw2hkNDK3+QMTNQ9z7hEtjT/5ktcdZ9S76zQ7Vfpb5zTs4gnOJO4r7rTiCzFo//66ZKTa2kfKL44sRC/zWEc0N9N526f3pP2T6lus1w32V2aj3FumN4dsAZ/wtheCbLsG+6+tNudDHlwnORMEZJJhFgmxCl0LwdZegQ2/9X118leko+BoJ5jgExTjlheArLkHeof5DarEWvoyCL5HgE64FItZcFJ8qOtwLSJ1C1KfIf1m/GfvvcyJuMvrvJMJNZk+tyH/NmTlR5D6FZk4g7gvsqQmFVWM780XeE2jnOOK9THZGxpoN0rk42VbVq1GVrbc5aKyd4NNpDeCdYBafjfiAdT9WZPgsxGcSfiZ7alpku8cIYUNq+s2RZ1iEGIPU0USdTREiMrYU7pyumz+32fwZhXojSe8dx+5QjBCl2x2OgLZOCh8ccpS1NQ21U0l7Hk0lvoqa2WsNx27ssugVvv4nI3oYoRewp97kqHenXUNQ3GfM6Z1MfDCKDyLxxTRLHKuH4Sx5TJwl/XGW9CPeMvbUomjVMNVNiTgCWzb368d8uC9a2ofIK7mTO8OOuTARLxrcG7GxhF1L0zohxuy864m9+2HVo22YzT0Q3p3gn7lsZkNrqj+6AfvJYZlTVcaORnYUsTc4ditFq4l3+7oI6p9YR/+Eo0wXktnCngKdk85sB3XCQa2xI7ERa0RHpHcg+nbavCTEmNhTt8eOH3zFpw7jtkNuW+LuojmFW7nSzakwFN96rMlxNqdCUTyExL+l1z2+QDrCrQE2GLHf3WjGp2oQYlsT9gA5EwtB5iZAK3ECtERsC8IeZk+9xH1e6TrKH1sUmj77JGtRM5RuStLHfJypo8hY7zy4sejBDVGlAakU0OKXEONxNOqj7VnjJ1RnHlYPqQ8T9TQtRrB7LF2/1UHt+zsPXc767SHUfpC0z9LOFVJuXqy8tVyCNVbEnBhfg6+8NVHwARK8SFGdTycTE7U6NiUo7b3vNvsq1ZBclciXaTPJwovx8lNFdObKuPxUItx1MpR5lJlw6wuGzr06Kaw1G+8KaGh5Iv+nWO7CAFsW2+/MXZRBrIWwhXrnNOgB1Y1zKkj1IaqiOMOqY+/rydrbtzHjFH/fHmZt4W3g3rrt5PLqio6UI/Nqxv51W5ixN1Dm3yTjy2Q6uZZNr3SuizpXUecK6VRRKP7cmcMlmrKXbws+eek2+OTvpFKDWuNIm3rVmgtia85ha86SzoOKbpNvAPztdvFN/q9IPU3UhxXnYsYnqCcPPYnYy7MWa8xDTyC2gLANFGf4hBBWuvD5M2qHDw2axpr0E2ofJ+0minNLw4bd7JbmKNJHlJtyjdGPIP1Hojdn9EbOYTAMaIdE5/kenecg0QIVeutkU8Hcqr9f5O5DK78lbohCgZJxTUT0Pdj+429uusTavxvJu4jcVnFuU5jDmDN4h2jwdsRuI2xHhg2mWWR+5nwtzpzNyN5E7K6KfsNmMGwbbxffsG1A7JeEjaZoyfPzXs37z0Xr16PMOpLpyWQi9O+PXmwH1roadrEPfxXfzLYDa1BxNSnGFV9eDLifulleViL3E+L2pZbgrt2Llix3KX59nWcdf2ctWYaKH5Nif0coKFrVzYaCpdie3X+cqMaC3BKkLyb6IFpfIGFRopi2SJwZCzBEfEgqyYpzA38nDVO6SDofG7jQ78IONmDzsIHvk3SaY64XdZ+5uf6u2KK5iJ1D2HSXf8WaCE2z0dz5L10tZOa+hdxZxLVRaBIPMA3YM4H9+gbb0mZsrGcg+w1iZyv6Mz4D7HRhShSd8b2G2FcJm0urCdsfGq4mL4sdOw1dZSrR8hXnqcwdVymRZ7wgijyPIs+RyESl2IGEAXIydoXzQGISdsUzxH3WFU4hzpXI/KdF8yeg+eNJ5kXFec7HBtKE9z2J9rf78L3vmf1PoP3jCPyyA1w0WUyAcxF8LXUhd+scBNsJPF3huUlnJsiMV2cDevQly8qmPHGM6ExCz6StEusMs/HRhobbwtvzzOcYpI8m+myKjwkx3q2P6eL6OBJVrKTybrEdrAExzc0ONhWw5Xgpl6NUi1d43SvVMlV/pKTQWMxXjN6iQ4vGItQ5Fsk4Fgn5G08xRxqGQzyUsAsV7xIiOsHBLsEJjoyIT7ivMggFB5LgEsW7ozyd4ADdRuUBJtgfBfuR4DLFzAGRDp+IHXg2emslnlxHfB/Cr1SkZ3o6ZrwYQ3tjDI0l3FrpqqWj9RRp3ZEWQ7TPFc8nbzputPB+29nK92hR2PJIgm80XLd12K7CVmN/1CrmkeGI7ULYLcZbZB23E3J9IsoeYNyOyO1A3O1mNqw6enukP3b+SBWeNkd6W6LvMkoh6KhhSK17qN2/eD4cqSFE/dYwAOuwwYhVL67mByBBiG1N2ANK6XP8OvFWwvgGvXGMtSkAxVuS+CFFfm6mgzYXfbwZ+nhT4h3z/NaswzYWsQ3RzAaELTCRPtBx64vch5Fbl7i/KobnNjrkQ9itfQPH1mJj+iByaxP3nDR5okPWFK2sgZ1anWiXFBNnVzpwVbT1WIdvGjJb70dbqxD9imJcEKYDVxY2it2Wcd+qhOCKBP7TU25GR66AZEvWU+cZuTySyxH5L8XD6ayOXOYOeVLMtKOz+7POsCBZI/JtMzk1HV0RIkjzhn8yu32Q/nehk66q0kIvHbOwUPCLm4XgF38RrpxqcCKkA94oBCOfCj9Vg3XBvwvByD+JWlE1yiLpsNcQO2lo5kHW9quIvULYKqpB7YaOermweEz+A6mXiFpdNawa03EvIvftQ0d+Y9wLyD1P3FpqCev+dEpnxfH7DcfvVxKpq3qqa9JRT4nUE2h6AVEbqB4OuXTQn7FT1nzY+S+ecEbycSI3UT2XOOngR0WLf0TuYeK2UD3mM3TYH8Dm3L7d6zVg3vw9sg8SO1D19FKpQ+8H9MnbE/s3YejvEL2P0G1UL9N8OsW9LsW9e/jHxS6+yh5U3E2Kj6gmXmN19J04vOUHXeSvsTuQ/g3RH1VLX8CjE9+G4tknRu5i4ltR/GsS76waZxV04M0I/j72Oe60mxD8FYEj1JIejumkNogu/AVO5c9JJUb1qspUJ7Xe1aqiF7fa7D1qHbbqn6TXS/VU5a9Dr4EOy6kz0h7N3Ho1olcROl4t6UUYndRKscNWYIctJ5Uk1Uy1uI78MY56zTppfKX9BzZiKeEfU42uKuiwixHrfB36CLGLCDtELfXFDp32AtSeOjWIX+z4ELU/IO3hqqdrEjr0PECvGVyzRW025O8j+j1Cj1BLfYqp035H2Bc8P3Uqa9Zc1J5D2umqx9y7jj1b9K9ZiH2TsGNVaXW6DjdDxL2O7jqdcHa1xElbncyroszLKPMSyTyhlro0VCc7FQZiUtPLlXlp6IvYYy+Q9gS1pKc8OqnnxRY+iy2cTCqT1FLXG+lkn0FX+27fRF5vNBFb+DRpP68alpPouBOQ60xmjEduPnGnqobnPDruE8j1HzfwFuOOQ24ecV9R5aXfOmiO2PePY99nE+8N1UNVkQ6aCZYuu1p2YzALIGPRUhuRZ6nS8icdc7RoaDoaOopwc9USnu/oRKyiSBqKpJLIPLW0BYM61eE4sHMHjuUFg8nYXcNIeoFqVIyiww5BrDOTNBixgwi7WPXuJohO8DGXYIjjowLbhQxAwf4k+LHqqZpch06CtoTn/asRLz5NRHRfQn+ieneNRieY4BJ0lAau4G2JR8E4Elytf5k2oMa6eZnuhdSeRF2nelnUoFPs7lIc6fg4xN4RYlCxGyl+oZb2GF0nHYWNzd20hB+jR6J0BEl/xaQfktS2MKYS7iSV3cy+sWKjAX3j42J6xCX0S/JVOiOwEwG3qp6ub+ps7SBO/PZIbUfUnarnUnkd9xHsg31DZ4SwAQ9DeCjB96oey/t17DaizUGIbU3YA6rxZWh9AhjtPT5qOj90DUBwSwIfUo3usupTwIh1nmT5I7YZYY+qJb3LqpNqIvZKIwzhDUnlF9XjvQQd1g9asL5+3gB+LlofW1CP2KeKpcEMsHWF7W5RGqwOYh8i7JniCSsDbm3kOhNWtZBbk7gX1BJf+tRp1RB7vBr2eFWSuax6dVdKJ1XF1azuPCjH8Kh8HzarMuldUz1eFtCxK4rNqIDY8oT9j2pcHKFjlsVh+LHnPr4VLAPgcvynnzhO0/kPRbl3mm7uNN1Co1EojZnBQa1DgvmAhBUNSFir4KBWIcGKKg6yDw7y37co266ZTGTIVApviUn4W5iEJ5VymvxwRga+cQteylpNHN2YJ+NvYTKe6BU16Volg18DePgXI7fzteoqwq8QvIrm9uRHBr58C4PcL7F88/YHgi8RuLrmdrWSgS8iePiXI/kPAbiA4PMErqW5P1KSkc8iOXfVP39n5DNI/o3IdTR3J4Ey7mnk/r2/Gj8JPIXck8Str5lcCGVSBaIT/oxO+BOpNNa8fJeRqR7DBlbK78DfZY5iA4+QtL9W/BBKRj2M1FlVP+U/uOMQUn8gaoAmebOQoQ/ilNqw4AjPNB9A9H5CB2ny0gMZfR8aXu/W8vv4TxxB+l6ih2ruCiZk3N3I9TlXhhdQ7kLuTuK200r2IiFT/Mal2Nxx7f74V77KdlTcRoodtWLZBxn0a9FHN6OPbiJeV8199kEG3Qh9s2vi1gsBrM83oKVfEjla02cfZMzPRUPXo6HrCNdTkx1HybBrwdQb8wpWPMhMXYOmriZ2nOYuVSTjforucX/HOfyUYyVyPyFuX81N+Y8Muxyxm4615RmzZYj9mLD9NYNyLRl+KeLn7grh5VpLEL+Y8IM0r0+cZOKLUPz17Gv8WsNCFF9A4sM0tydOMvAHCB7S7twNBp6P4HkETtXcZHdk2PcQO6P+gDKss95F7DuEHamVZOst05vj0nP80I3pldjW+23Um016o7USZZNkgrNcgo938j28IJvv9d9EwZkkmKkVq0WSQd8Q5/F0nMevES9Hk2QPZNRXROpLaOU0oj6p6Up7ZLQXRdoUtPF5oj2tSc7xZNRnwV8WruxRtgfzl8lo6CRCTy4WEgyMnegmJDyN2KcIO0WTV8jI6OOR/uZzBfzcLh/pTxJ9miZ7o5exxyG7k88Rfkc1D9m5xH5VkxygydB2QL+9KOVdflH1cURnE/qNYlPeAJvpZsqPRayNsLOKbyYMuKPdbCYykJtO3Dmam9yGDDsSsQUTv+W5DStiRxD2Pc3bsx2ZdqrgluOHcLdMQe3hpP2B5q4QSMYdhtzLf1TgeZWhyB1C3EVa8VJSGXUQUtMbreBlSwOR+hhRl2olKReQ6fV36RUlheuw0NoP9ZJIb7lmsghCJtVXDGYJGMziSWWVJq0PknF7i9xeaH1P4q7TdGXYMlp3kdYNrYwm2pea+/ooGTQSR9X/mbf4eV0E2tmVyJs0L1PvMukuKN29RwxPvXdG6U4kvVWTlDnJ0B0Afe3onmd4feijiG5P6B2aucM4mVJbcVDCcFBCSWRv8elrgGzjZvoGo/FBxN2vlaxGS6YY6FIsOkc608VXaYWKAaT4gybLWMrYLcQO8kdsM8Ie1czmd2UyTUSZRjgODUnmF83bAheZrB+O1XpbwWo2VvWxifVI+5QmLfKWweuKbXoIuQ8S96xmUGokI9dCs3uevXqdmV0T8Q8Q/qLmbfGMTLu6sOo1rfoi066G2lVJ+7Lm5vRGhq0iYGvM5rPmPsRWJuw1zX19tYxc8Q55k2X/qZwkFkx8kVyByDc02f0AGbucOMRlEGshbKGmr/aRZo5FnA/OAv7D9osyxxZz1b/SxPFNMXF8ExPHJML/Jxf6gmhpwvhm8Z3Fv29iwpioFS0lOjeXJpFdgkWX6OuzrcVVFLxCglUsJsuGpGllsbMuYWf9Tio1LG4u3MmIF24Wd/TzaPw5wta2SCqwZegzorG/IvU0UR+2SC96ybgn0eRpz6zjF71OILyA4A0sJbqyJxP82SW4MJu/l/OfvvkTCh4nwSYW/Z06GfOo2Dk/4kgeJlwLS4nuOMq0fnDZP3cO/7jOFuTv0f6DJBho8fp+lUx8P47WEm0tPwn5DsX3kXgbS/GqEhl1L1Kd2fE9SN1N1Ecs3pYJyrR3gvak2PiKvExwB2p/Q9qPWmT1mjL2NtEtvkbsFsJ2sZgtsJTJbBJlNqL3bSCZKIubyy0y4hc4IM4338/R+s8I292iv9gjY64TrVyLVq4hXG+LvM5fBl6FxlZ6Zwyv8/8UjV1J9D4Wt4ffMvAKBK9cXZUffi8HcMX/A5x5ryIUbQ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</si>
</sst>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x"/>
  </numFmts>
  <fonts count="5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horizontal="center"/>
    </xf>
    <xf numFmtId="164" fontId="0" fillId="0" borderId="0" xfId="0" applyNumberFormat="1"/>
    <xf numFmtId="9" fontId="0" fillId="0" borderId="0" xfId="1" applyFont="1"/>
    <xf numFmtId="4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6">
  <a r="1">
    <v t="i">0</v>
  </a>
  <a r="1">
    <v>26.9</v>
  </a>
  <a r="1">
    <v>19.2</v>
  </a>
  <a r="1">
    <v>14.37</v>
  </a>
  <a r="1">
    <v>155.51</v>
  </a>
  <a r="1">
    <v>164.46</v>
  </a>
  <a r="1">
    <v>150.37</v>
  </a>
  <a r="1">
    <v>80.790000000000006</v>
  </a>
  <a r="1">
    <v>92.88</v>
  </a>
  <a r="1">
    <v>77.05</v>
  </a>
  <a r="1">
    <v>144.41</v>
  </a>
  <a r="1">
    <v>136.09</v>
  </a>
  <a r="1">
    <v>119.71</v>
  </a>
  <a r="1">
    <v>97.66</v>
  </a>
  <a r="1">
    <v>106.11</v>
  </a>
  <a r="1">
    <v>87.69</v>
  </a>
</arrayData>
</file>

<file path=xl/richData/rdrichvalue.xml><?xml version="1.0" encoding="utf-8"?>
<rvData xmlns="http://schemas.microsoft.com/office/spreadsheetml/2017/richdata" count="30">
  <rv s="0">
    <fb>26.9</fb>
    <v>0</v>
  </rv>
  <rv s="0">
    <fb>155.51</fb>
    <v>0</v>
  </rv>
  <rv s="0">
    <fb>144.41</fb>
    <v>0</v>
  </rv>
  <rv s="0">
    <fb>80.790000000000006</fb>
    <v>0</v>
  </rv>
  <rv s="0">
    <fb>97.66</fb>
    <v>0</v>
  </rv>
  <rv s="0">
    <fb>19.2</fb>
    <v>0</v>
  </rv>
  <rv s="0">
    <fb>164.46</fb>
    <v>0</v>
  </rv>
  <rv s="0">
    <fb>136.09</fb>
    <v>0</v>
  </rv>
  <rv s="0">
    <fb>92.88</fb>
    <v>0</v>
  </rv>
  <rv s="0">
    <fb>106.11</fb>
    <v>0</v>
  </rv>
  <rv s="0">
    <fb>14.37</fb>
    <v>0</v>
  </rv>
  <rv s="0">
    <fb>150.37</fb>
    <v>0</v>
  </rv>
  <rv s="0">
    <fb>119.71</fb>
    <v>0</v>
  </rv>
  <rv s="0">
    <fb>77.05</fb>
    <v>0</v>
  </rv>
  <rv s="0">
    <fb>87.69</fb>
    <v>0</v>
  </rv>
  <rv s="1">
    <v>1</v>
    <v>KVUE</v>
    <v>Daily</v>
    <v>45050</v>
    <v>45050</v>
    <v>0</v>
    <v>1</v>
    <v>638187552000000000,639109247932716637,0</v>
    <v>0</v>
    <v>c8ki6h</v>
    <v>XNYS:KVUE</v>
    <v>1</v>
  </rv>
  <rv s="1">
    <v>1</v>
    <v>KVUE</v>
    <v>Daily</v>
    <v>45415</v>
    <v>45416</v>
    <v>0</v>
    <v>1</v>
    <v>638502912000000000,639109249424794162,0</v>
    <v>0</v>
    <v>c8ki6h</v>
    <v>XNYS:KVUE</v>
    <v>2</v>
  </rv>
  <rv s="1">
    <v>1</v>
    <v>KVUE</v>
    <v>Daily</v>
    <v>45961</v>
    <v>45961</v>
    <v>0</v>
    <v>1</v>
    <v>638974656000000000,639109249813451558,0</v>
    <v>0</v>
    <v>c8ki6h</v>
    <v>XNYS:KVUE</v>
    <v>3</v>
  </rv>
  <rv s="1">
    <v>1</v>
    <v>PG</v>
    <v>Daily</v>
    <v>45050</v>
    <v>45050</v>
    <v>0</v>
    <v>1</v>
    <v>638187552000000000,639109248350621641,0</v>
    <v>0</v>
    <v>a1zsjc</v>
    <v>XNYS:PG</v>
    <v>4</v>
  </rv>
  <rv s="1">
    <v>1</v>
    <v>PG</v>
    <v>Daily</v>
    <v>45415</v>
    <v>45416</v>
    <v>0</v>
    <v>1</v>
    <v>638502912000000000,639109249453846571,0</v>
    <v>0</v>
    <v>a1zsjc</v>
    <v>XNYS:PG</v>
    <v>5</v>
  </rv>
  <rv s="1">
    <v>1</v>
    <v>PG</v>
    <v>Daily</v>
    <v>45961</v>
    <v>45961</v>
    <v>0</v>
    <v>1</v>
    <v>638974656000000000,639109249814134323,0</v>
    <v>0</v>
    <v>a1zsjc</v>
    <v>XNYS:PG</v>
    <v>6</v>
  </rv>
  <rv s="1">
    <v>1</v>
    <v>CL</v>
    <v>Daily</v>
    <v>45050</v>
    <v>45050</v>
    <v>0</v>
    <v>1</v>
    <v>638187552000000000,639109248526045620,0</v>
    <v>0</v>
    <v>a1pshw</v>
    <v>XNYS:CL</v>
    <v>7</v>
  </rv>
  <rv s="1">
    <v>1</v>
    <v>CL</v>
    <v>Daily</v>
    <v>45415</v>
    <v>45416</v>
    <v>0</v>
    <v>1</v>
    <v>638502912000000000,639109249524681752,0</v>
    <v>0</v>
    <v>a1pshw</v>
    <v>XNYS:CL</v>
    <v>8</v>
  </rv>
  <rv s="1">
    <v>1</v>
    <v>CL</v>
    <v>Daily</v>
    <v>45961</v>
    <v>45961</v>
    <v>0</v>
    <v>1</v>
    <v>638974656000000000,639109249811642751,0</v>
    <v>0</v>
    <v>a1pshw</v>
    <v>XNYS:CL</v>
    <v>9</v>
  </rv>
  <rv s="1">
    <v>1</v>
    <v>KMB</v>
    <v>Daily</v>
    <v>45050</v>
    <v>45050</v>
    <v>0</v>
    <v>1</v>
    <v>638187552000000000,639109248461044901,0</v>
    <v>0</v>
    <v>a1wjz2</v>
    <v>XNAS:KMB</v>
    <v>10</v>
  </rv>
  <rv s="1">
    <v>1</v>
    <v>KMB</v>
    <v>Daily</v>
    <v>45415</v>
    <v>45416</v>
    <v>0</v>
    <v>1</v>
    <v>638502912000000000,639109249489794024,0</v>
    <v>0</v>
    <v>a1wjz2</v>
    <v>XNAS:KMB</v>
    <v>11</v>
  </rv>
  <rv s="1">
    <v>1</v>
    <v>KMB</v>
    <v>Daily</v>
    <v>45961</v>
    <v>45961</v>
    <v>0</v>
    <v>1</v>
    <v>638974656000000000,639109249812756210,0</v>
    <v>0</v>
    <v>a1wjz2</v>
    <v>XNAS:KMB</v>
    <v>12</v>
  </rv>
  <rv s="1">
    <v>1</v>
    <v>CHD</v>
    <v>Daily</v>
    <v>45050</v>
    <v>45050</v>
    <v>0</v>
    <v>1</v>
    <v>638187552000000000,639109248582549802,0</v>
    <v>0</v>
    <v>a1pl8m</v>
    <v>XNYS:CHD</v>
    <v>13</v>
  </rv>
  <rv s="1">
    <v>1</v>
    <v>CHD</v>
    <v>Daily</v>
    <v>45415</v>
    <v>45416</v>
    <v>0</v>
    <v>1</v>
    <v>638502912000000000,639109249552754513,0</v>
    <v>0</v>
    <v>a1pl8m</v>
    <v>XNYS:CHD</v>
    <v>14</v>
  </rv>
  <rv s="1">
    <v>1</v>
    <v>CHD</v>
    <v>Daily</v>
    <v>45961</v>
    <v>45961</v>
    <v>0</v>
    <v>1</v>
    <v>638974656000000000,639109249810961087,0</v>
    <v>0</v>
    <v>a1pl8m</v>
    <v>XNYS:CHD</v>
    <v>15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m/d/yyyy"/>
    </x:dxf>
  </dxfs>
  <richProperties>
    <rPr n="NumberFormat" t="s"/>
  </richProperties>
  <richStyles>
    <rSty dxfid="0">
      <rpv i="0">_([$$-en-US]* #,##0.00_);_([$$-en-US]* (#,##0.00);_([$$-en-US]* "-"??_);_(@_)</rpv>
    </rSty>
    <rSty dxfid="1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D16" sqref="D16:D20"/>
    </sheetView>
  </sheetViews>
  <sheetFormatPr defaultRowHeight="15" x14ac:dyDescent="0.25"/>
  <cols>
    <col min="1" max="13" width="20" customWidth="1"/>
  </cols>
  <sheetData>
    <row r="1" spans="1:13" x14ac:dyDescent="0.25">
      <c r="A1" t="s">
        <v>0</v>
      </c>
      <c r="B1" t="s">
        <v>32</v>
      </c>
    </row>
    <row r="2" spans="1:13" x14ac:dyDescent="0.25">
      <c r="A2" s="1" t="s">
        <v>2</v>
      </c>
    </row>
    <row r="4" spans="1:13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33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25">
      <c r="A5" s="6" t="s">
        <v>16</v>
      </c>
      <c r="B5" t="s">
        <v>17</v>
      </c>
      <c r="C5">
        <f>_xll.PBF(A5,"Total Revenue","TTM",$B$1,"","USD","",$B$1)</f>
        <v>14950000000</v>
      </c>
      <c r="D5">
        <f>_xll.PBF(A5,"Diluted Weighted Average Shares Outstanding","TTM",$B$1,"","USD","",$B$1)</f>
        <v>1888972560</v>
      </c>
      <c r="E5">
        <f>_xll.PBF(A5,"Net Debt","TTM",$B$1,"","USD","",$B$1)</f>
        <v>-1115000000</v>
      </c>
      <c r="F5">
        <f>_xll.PBF(A5,"EBITDA","TTM",$B$1,"","USD","",$B$1)</f>
        <v>3281000000</v>
      </c>
      <c r="G5">
        <f>_xll.PBF(A5,"EBITDA","NTM",$B$1,"","USD","",$B$1)</f>
        <v>3281000000</v>
      </c>
      <c r="H5">
        <f>_xll.PBF(A5,"Diluted EPS (Analyst Normalized)","NTM",$B$1,"","USD","",$B$1)</f>
        <v>0.93</v>
      </c>
      <c r="I5">
        <f ca="1">D16*D5</f>
        <v>50813361864</v>
      </c>
      <c r="J5">
        <f t="shared" ref="J5:J12" ca="1" si="0">I5+E5</f>
        <v>49698361864</v>
      </c>
      <c r="K5">
        <f t="shared" ref="K5:K12" ca="1" si="1">IFERROR(J5/F5,"")</f>
        <v>15.147321506857665</v>
      </c>
      <c r="L5">
        <f t="shared" ref="L5:L12" ca="1" si="2">IFERROR(J5/G5,"")</f>
        <v>15.147321506857665</v>
      </c>
      <c r="M5">
        <f t="shared" ref="M5:M12" ca="1" si="3">I5/(D5*H5)</f>
        <v>28.924731182795696</v>
      </c>
    </row>
    <row r="6" spans="1:13" x14ac:dyDescent="0.25">
      <c r="A6" s="6" t="s">
        <v>18</v>
      </c>
      <c r="B6" t="s">
        <v>19</v>
      </c>
      <c r="C6">
        <f>_xll.PBF(A6,"Total Revenue","TTM",$B$1,"","USD","",$B$1)</f>
        <v>80968000000</v>
      </c>
      <c r="D6">
        <f>_xll.PBF(A6,"Diluted Weighted Average Shares Outstanding","TTM",$B$1,"","USD","",$B$1)</f>
        <v>2495300000</v>
      </c>
      <c r="E6">
        <f>_xll.PBF(A6,"Net Debt","TTM",$B$1,"","USD","",$B$1)</f>
        <v>28995000000</v>
      </c>
      <c r="F6">
        <f>_xll.PBF(A6,"EBITDA","TTM",$B$1,"","USD","",$B$1)</f>
        <v>20919000000</v>
      </c>
      <c r="G6">
        <f>_xll.PBF(A6,"EBITDA","NTM",$B$1,"","USD","",$B$1)</f>
        <v>20919000000</v>
      </c>
      <c r="H6">
        <f>_xll.PBF(A6,"Diluted EPS (Analyst Normalized)","NTM",$B$1,"","USD","",$B$1)</f>
        <v>5.74</v>
      </c>
      <c r="I6">
        <f t="shared" ref="I6:I9" ca="1" si="4">D17*D6</f>
        <v>388044103000</v>
      </c>
      <c r="J6">
        <f t="shared" ca="1" si="0"/>
        <v>417039103000</v>
      </c>
      <c r="K6">
        <f t="shared" ca="1" si="1"/>
        <v>19.935900521057413</v>
      </c>
      <c r="L6">
        <f t="shared" ca="1" si="2"/>
        <v>19.935900521057413</v>
      </c>
      <c r="M6">
        <f t="shared" ca="1" si="3"/>
        <v>27.092334494773517</v>
      </c>
    </row>
    <row r="7" spans="1:13" x14ac:dyDescent="0.25">
      <c r="A7" s="6" t="s">
        <v>20</v>
      </c>
      <c r="B7" t="s">
        <v>21</v>
      </c>
      <c r="C7">
        <f>_xll.PBF(A7,"Total Revenue","TTM",$B$1,"","USD","",$B$1)</f>
        <v>20275000000</v>
      </c>
      <c r="D7">
        <f>_xll.PBF(A7,"Diluted Weighted Average Shares Outstanding","TTM",$B$1,"","USD","",$B$1)</f>
        <v>338400000</v>
      </c>
      <c r="E7">
        <f>_xll.PBF(A7,"Net Debt","TTM",$B$1,"","USD","",$B$1)</f>
        <v>7957000000</v>
      </c>
      <c r="F7">
        <f>_xll.PBF(A7,"EBITDA","TTM",$B$1,"","USD","",$B$1)</f>
        <v>3444000000</v>
      </c>
      <c r="G7">
        <f>_xll.PBF(A7,"EBITDA","NTM",$B$1,"","USD","",$B$1)</f>
        <v>3444000000</v>
      </c>
      <c r="H7">
        <f>_xll.PBF(A7,"Diluted EPS (Analyst Normalized)","NTM",$B$1,"","USD","",$B$1)</f>
        <v>5.84</v>
      </c>
      <c r="I7">
        <f t="shared" ca="1" si="4"/>
        <v>48868344000</v>
      </c>
      <c r="J7">
        <f t="shared" ca="1" si="0"/>
        <v>56825344000</v>
      </c>
      <c r="K7">
        <f t="shared" ca="1" si="1"/>
        <v>16.499809523809525</v>
      </c>
      <c r="L7">
        <f t="shared" ca="1" si="2"/>
        <v>16.499809523809525</v>
      </c>
      <c r="M7">
        <f t="shared" ca="1" si="3"/>
        <v>24.727739726027398</v>
      </c>
    </row>
    <row r="8" spans="1:13" x14ac:dyDescent="0.25">
      <c r="A8" s="6" t="s">
        <v>22</v>
      </c>
      <c r="B8" t="s">
        <v>23</v>
      </c>
      <c r="C8">
        <f>_xll.PBF(A8,"Total Revenue","TTM",$B$1,"","USD","",$B$1)</f>
        <v>18338000000</v>
      </c>
      <c r="D8">
        <f>_xll.PBF(A8,"Diluted Weighted Average Shares Outstanding","TTM",$B$1,"","USD","",$B$1)</f>
        <v>836125000</v>
      </c>
      <c r="E8">
        <f>_xll.PBF(A8,"Net Debt","TTM",$B$1,"","USD","",$B$1)</f>
        <v>8040000000</v>
      </c>
      <c r="F8">
        <f>_xll.PBF(A8,"EBITDA","TTM",$B$1,"","USD","",$B$1)</f>
        <v>3141000000</v>
      </c>
      <c r="G8">
        <f>_xll.PBF(A8,"EBITDA","NTM",$B$1,"","USD","",$B$1)</f>
        <v>3141000000</v>
      </c>
      <c r="H8">
        <f>_xll.PBF(A8,"Diluted EPS (Analyst Normalized)","NTM",$B$1,"","USD","",$B$1)</f>
        <v>1.92</v>
      </c>
      <c r="I8">
        <f t="shared" ca="1" si="4"/>
        <v>67550538750.000008</v>
      </c>
      <c r="J8">
        <f t="shared" ca="1" si="0"/>
        <v>75590538750</v>
      </c>
      <c r="K8">
        <f t="shared" ca="1" si="1"/>
        <v>24.065755730659024</v>
      </c>
      <c r="L8">
        <f t="shared" ca="1" si="2"/>
        <v>24.065755730659024</v>
      </c>
      <c r="M8">
        <f t="shared" ca="1" si="3"/>
        <v>42.078125000000007</v>
      </c>
    </row>
    <row r="9" spans="1:13" x14ac:dyDescent="0.25">
      <c r="A9" s="6" t="s">
        <v>24</v>
      </c>
      <c r="B9" t="s">
        <v>25</v>
      </c>
      <c r="C9">
        <f>_xll.PBF(A9,"Total Revenue","TTM",$B$1,"","USD","",$B$1)</f>
        <v>5508200000</v>
      </c>
      <c r="D9">
        <f>_xll.PBF(A9,"Diluted Weighted Average Shares Outstanding","TTM",$B$1,"","USD","",$B$1)</f>
        <v>246325000</v>
      </c>
      <c r="E9">
        <f>_xll.PBF(A9,"Net Debt","TTM",$B$1,"","USD","",$B$1)</f>
        <v>2216000000</v>
      </c>
      <c r="F9">
        <f>_xll.PBF(A9,"EBITDA","TTM",$B$1,"","USD","",$B$1)</f>
        <v>844100000</v>
      </c>
      <c r="G9">
        <f>_xll.PBF(A9,"EBITDA","NTM",$B$1,"","USD","",$B$1)</f>
        <v>844100000</v>
      </c>
      <c r="H9">
        <f>_xll.PBF(A9,"Diluted EPS (Analyst Normalized)","NTM",$B$1,"","USD","",$B$1)</f>
        <v>1.67</v>
      </c>
      <c r="I9">
        <f t="shared" ca="1" si="4"/>
        <v>24056099500</v>
      </c>
      <c r="J9">
        <f t="shared" ca="1" si="0"/>
        <v>26272099500</v>
      </c>
      <c r="K9">
        <f t="shared" ca="1" si="1"/>
        <v>31.124392252102833</v>
      </c>
      <c r="L9">
        <f t="shared" ca="1" si="2"/>
        <v>31.124392252102833</v>
      </c>
      <c r="M9">
        <f t="shared" ca="1" si="3"/>
        <v>58.479041916167667</v>
      </c>
    </row>
    <row r="10" spans="1:13" x14ac:dyDescent="0.25">
      <c r="A10" s="6" t="s">
        <v>26</v>
      </c>
      <c r="B10" t="s">
        <v>27</v>
      </c>
      <c r="C10">
        <f>_xll.PBF(A10,"Total Revenue","TTM",$B$1,"","USD","",$B$1)</f>
        <v>41505000000</v>
      </c>
      <c r="D10">
        <f>_xll.PBF(A10,"Diluted Weighted Average Shares Outstanding","TTM",$B$1,"","USD","",$B$1)</f>
        <v>1758293250</v>
      </c>
      <c r="E10">
        <f>_xll.PBF(A10,"Net Debt","TTM",$B$1,"","USD","",$B$1)</f>
        <v>7368000000</v>
      </c>
      <c r="F10">
        <f>_xll.PBF(A10,"EBITDA","TTM",$B$1,"","USD","",$B$1)</f>
        <v>10552000000</v>
      </c>
      <c r="G10">
        <f>_xll.PBF(A10,"EBITDA","NTM",$B$1,"","USD","",$B$1)</f>
        <v>10552000000</v>
      </c>
      <c r="H10">
        <f>_xll.PBF(A10,"Diluted EPS (Analyst Normalized)","NTM",$B$1,"","USD","",$B$1)</f>
        <v>3.29</v>
      </c>
      <c r="I10">
        <f>_xll.PBF(A10,"Market Cap","TTM",$B$1,"","USD","",$B$1)</f>
        <v>192779642137</v>
      </c>
      <c r="J10">
        <f t="shared" si="0"/>
        <v>200147642137</v>
      </c>
      <c r="K10">
        <f t="shared" si="1"/>
        <v>18.967744705932525</v>
      </c>
      <c r="L10">
        <f t="shared" si="2"/>
        <v>18.967744705932525</v>
      </c>
      <c r="M10">
        <f t="shared" si="3"/>
        <v>33.325291960202165</v>
      </c>
    </row>
    <row r="11" spans="1:13" x14ac:dyDescent="0.25">
      <c r="A11" s="6" t="s">
        <v>28</v>
      </c>
      <c r="B11" t="s">
        <v>29</v>
      </c>
      <c r="C11">
        <f>_xll.PBF(A11,"Total Revenue","TTM",$B$1,"","USD","",$B$1)</f>
        <v>5268100000</v>
      </c>
      <c r="D11">
        <f>_xll.PBF(A11,"Diluted Weighted Average Shares Outstanding","TTM",$B$1,"","USD","",$B$1)</f>
        <v>868800000</v>
      </c>
      <c r="E11">
        <f>_xll.PBF(A11,"Net Debt","TTM",$B$1,"","USD","",$B$1)</f>
        <v>4127500000</v>
      </c>
      <c r="F11">
        <f>_xll.PBF(A11,"EBITDA","TTM",$B$1,"","USD","",$B$1)</f>
        <v>941400000</v>
      </c>
      <c r="G11">
        <f>_xll.PBF(A11,"EBITDA","NTM",$B$1,"","USD","",$B$1)</f>
        <v>941400000</v>
      </c>
      <c r="H11">
        <f>_xll.PBF(A11,"Diluted EPS (Analyst Normalized)","NTM",$B$1,"","USD","",$B$1)</f>
        <v>0.14000000000000001</v>
      </c>
      <c r="I11">
        <f>_xll.PBF(A11,"Market Cap","TTM",$B$1,"","USD","",$B$1)</f>
        <v>9949793231</v>
      </c>
      <c r="J11">
        <f t="shared" si="0"/>
        <v>14077293231</v>
      </c>
      <c r="K11">
        <f t="shared" si="1"/>
        <v>14.953572584448693</v>
      </c>
      <c r="L11">
        <f t="shared" si="2"/>
        <v>14.953572584448693</v>
      </c>
      <c r="M11">
        <f t="shared" si="3"/>
        <v>81.802430536372</v>
      </c>
    </row>
    <row r="12" spans="1:13" x14ac:dyDescent="0.25">
      <c r="A12" s="6" t="s">
        <v>30</v>
      </c>
      <c r="B12" t="s">
        <v>31</v>
      </c>
      <c r="C12">
        <f>_xll.PBF(A12,"Total Revenue","TTM",$B$1,"","USD","",$B$1)</f>
        <v>2177500000</v>
      </c>
      <c r="D12">
        <f>_xll.PBF(A12,"Diluted Weighted Average Shares Outstanding","TTM",$B$1,"","USD","",$B$1)</f>
        <v>52825000</v>
      </c>
      <c r="E12">
        <f>_xll.PBF(A12,"Net Debt","TTM",$B$1,"","USD","",$B$1)</f>
        <v>1383500000</v>
      </c>
      <c r="F12">
        <f>_xll.PBF(A12,"EBITDA","TTM",$B$1,"","USD","",$B$1)</f>
        <v>289900000</v>
      </c>
      <c r="G12">
        <f>_xll.PBF(A12,"EBITDA","NTM",$B$1,"","USD","",$B$1)</f>
        <v>289900000</v>
      </c>
      <c r="H12">
        <f>_xll.PBF(A12,"Diluted EPS (Analyst Normalized)","NTM",$B$1,"","USD","",$B$1)</f>
        <v>1.88</v>
      </c>
      <c r="I12">
        <f>_xll.PBF(A12,"Market Cap","TTM",$B$1,"","USD","",$B$1)</f>
        <v>2221222392</v>
      </c>
      <c r="J12">
        <f t="shared" si="0"/>
        <v>3604722392</v>
      </c>
      <c r="K12">
        <f t="shared" si="1"/>
        <v>12.434364925836496</v>
      </c>
      <c r="L12">
        <f t="shared" si="2"/>
        <v>12.434364925836496</v>
      </c>
      <c r="M12">
        <f t="shared" si="3"/>
        <v>22.366327919364419</v>
      </c>
    </row>
    <row r="16" spans="1:13" x14ac:dyDescent="0.25">
      <c r="D16" cm="1" vm="1">
        <f t="array" aca="1" ref="D16" ca="1">_xlfn.STOCKHISTORY("KVUE",$B$1,$B$1,0,0,1)</f>
        <v>26.9</v>
      </c>
    </row>
    <row r="17" spans="4:4" x14ac:dyDescent="0.25">
      <c r="D17" cm="1" vm="2">
        <f t="array" aca="1" ref="D17" ca="1">_xlfn.STOCKHISTORY("PG",$B$1,$B$1,0,0,1)</f>
        <v>155.51</v>
      </c>
    </row>
    <row r="18" spans="4:4" x14ac:dyDescent="0.25">
      <c r="D18" cm="1" vm="3">
        <f t="array" aca="1" ref="D18" ca="1">_xlfn.STOCKHISTORY("KMB",$B$1,$B$1,0,0,1)</f>
        <v>144.41</v>
      </c>
    </row>
    <row r="19" spans="4:4" x14ac:dyDescent="0.25">
      <c r="D19" cm="1" vm="4">
        <f t="array" aca="1" ref="D19" ca="1">_xlfn.STOCKHISTORY("CL",$B$1,$B$1,0,0,1)</f>
        <v>80.790000000000006</v>
      </c>
    </row>
    <row r="20" spans="4:4" x14ac:dyDescent="0.25">
      <c r="D20" cm="1" vm="5">
        <f t="array" aca="1" ref="D20" ca="1">_xlfn.STOCKHISTORY("CHD",$B$1,$B$1,0,0,1)</f>
        <v>97.66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topLeftCell="A2" workbookViewId="0">
      <selection activeCell="D16" sqref="D16:D20"/>
    </sheetView>
  </sheetViews>
  <sheetFormatPr defaultRowHeight="15" x14ac:dyDescent="0.25"/>
  <cols>
    <col min="1" max="13" width="20" customWidth="1"/>
  </cols>
  <sheetData>
    <row r="1" spans="1:13" x14ac:dyDescent="0.25">
      <c r="A1" t="s">
        <v>0</v>
      </c>
      <c r="B1" t="s">
        <v>34</v>
      </c>
    </row>
    <row r="2" spans="1:13" x14ac:dyDescent="0.25">
      <c r="A2" s="1" t="s">
        <v>2</v>
      </c>
    </row>
    <row r="4" spans="1:13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25">
      <c r="A5" t="s">
        <v>16</v>
      </c>
      <c r="B5" t="s">
        <v>17</v>
      </c>
      <c r="C5">
        <f>_xll.PBF(A5,"Total Revenue","TTM",$B$1,"","USD","",$B$1)</f>
        <v>15444000000</v>
      </c>
      <c r="D5">
        <f>_xll.PBF(A5,"Diluted Weighted Average Shares Outstanding","TTM",$B$1,"","USD","",$B$1)</f>
        <v>1850000000</v>
      </c>
      <c r="E5">
        <f>_xll.PBF(A5,"Net Debt","TTM",$B$1,"","USD","",$B$1)</f>
        <v>7045000000</v>
      </c>
      <c r="F5">
        <f>_xll.PBF(A5,"EBITDA","TTM",$B$1,"","USD","",$B$1)</f>
        <v>3067000000</v>
      </c>
      <c r="G5">
        <f>_xll.PBF(A5,"EBITDA","NTM",$B$1,"","USD","",$B$1)</f>
        <v>3067000000</v>
      </c>
      <c r="H5">
        <f>_xll.PBF(A5,"Diluted EPS (Analyst Normalized)","NTM",$B$1,"","USD","",$B$1)</f>
        <v>0.9</v>
      </c>
      <c r="I5">
        <f ca="1">D16*D5</f>
        <v>35520000000</v>
      </c>
      <c r="J5">
        <f t="shared" ref="J5:J12" ca="1" si="0">I5+E5</f>
        <v>42565000000</v>
      </c>
      <c r="K5">
        <f t="shared" ref="K5:K12" ca="1" si="1">IFERROR(J5/F5,"")</f>
        <v>13.878382784479948</v>
      </c>
      <c r="L5">
        <f t="shared" ref="L5:L12" ca="1" si="2">IFERROR(J5/G5,"")</f>
        <v>13.878382784479948</v>
      </c>
      <c r="M5">
        <f t="shared" ref="M5:M12" ca="1" si="3">I5/(D5*H5)</f>
        <v>21.333333333333332</v>
      </c>
    </row>
    <row r="6" spans="1:13" x14ac:dyDescent="0.25">
      <c r="A6" t="s">
        <v>18</v>
      </c>
      <c r="B6" t="s">
        <v>19</v>
      </c>
      <c r="C6">
        <f>_xll.PBF(A6,"Total Revenue","TTM",$B$1,"","USD","",$B$1)</f>
        <v>84060000000</v>
      </c>
      <c r="D6">
        <f>_xll.PBF(A6,"Diluted Weighted Average Shares Outstanding","TTM",$B$1,"","USD","",$B$1)</f>
        <v>2473250000</v>
      </c>
      <c r="E6">
        <f>_xll.PBF(A6,"Net Debt","TTM",$B$1,"","USD","",$B$1)</f>
        <v>25154000000</v>
      </c>
      <c r="F6">
        <f>_xll.PBF(A6,"EBITDA","TTM",$B$1,"","USD","",$B$1)</f>
        <v>22428000000</v>
      </c>
      <c r="G6">
        <f>_xll.PBF(A6,"EBITDA","NTM",$B$1,"","USD","",$B$1)</f>
        <v>22428000000</v>
      </c>
      <c r="H6">
        <f>_xll.PBF(A6,"Diluted EPS (Analyst Normalized)","NTM",$B$1,"","USD","",$B$1)</f>
        <v>6.12</v>
      </c>
      <c r="I6">
        <f t="shared" ref="I6:I9" ca="1" si="4">D17*D6</f>
        <v>406750695000</v>
      </c>
      <c r="J6">
        <f t="shared" ca="1" si="0"/>
        <v>431904695000</v>
      </c>
      <c r="K6">
        <f t="shared" ca="1" si="1"/>
        <v>19.257387863385055</v>
      </c>
      <c r="L6">
        <f t="shared" ca="1" si="2"/>
        <v>19.257387863385055</v>
      </c>
      <c r="M6">
        <f t="shared" ca="1" si="3"/>
        <v>26.872549019607842</v>
      </c>
    </row>
    <row r="7" spans="1:13" x14ac:dyDescent="0.25">
      <c r="A7" t="s">
        <v>20</v>
      </c>
      <c r="B7" t="s">
        <v>21</v>
      </c>
      <c r="C7">
        <f>_xll.PBF(A7,"Total Revenue","TTM",$B$1,"","USD","",$B$1)</f>
        <v>17100000000</v>
      </c>
      <c r="D7">
        <f>_xll.PBF(A7,"Diluted Weighted Average Shares Outstanding","TTM",$B$1,"","USD","",$B$1)</f>
        <v>338725000</v>
      </c>
      <c r="E7">
        <f>_xll.PBF(A7,"Net Debt","TTM",$B$1,"","USD","",$B$1)</f>
        <v>7117000000</v>
      </c>
      <c r="F7">
        <f>_xll.PBF(A7,"EBITDA","TTM",$B$1,"","USD","",$B$1)</f>
        <v>2650000000</v>
      </c>
      <c r="G7">
        <f>_xll.PBF(A7,"EBITDA","NTM",$B$1,"","USD","",$B$1)</f>
        <v>2650000000</v>
      </c>
      <c r="H7">
        <f>_xll.PBF(A7,"Diluted EPS (Analyst Normalized)","NTM",$B$1,"","USD","",$B$1)</f>
        <v>5.44</v>
      </c>
      <c r="I7">
        <f t="shared" ca="1" si="4"/>
        <v>46097085250</v>
      </c>
      <c r="J7">
        <f t="shared" ca="1" si="0"/>
        <v>53214085250</v>
      </c>
      <c r="K7">
        <f t="shared" ca="1" si="1"/>
        <v>20.080786886792453</v>
      </c>
      <c r="L7">
        <f t="shared" ca="1" si="2"/>
        <v>20.080786886792453</v>
      </c>
      <c r="M7">
        <f t="shared" ca="1" si="3"/>
        <v>25.016544117647054</v>
      </c>
    </row>
    <row r="8" spans="1:13" x14ac:dyDescent="0.25">
      <c r="A8" t="s">
        <v>22</v>
      </c>
      <c r="B8" t="s">
        <v>23</v>
      </c>
      <c r="C8">
        <f>_xll.PBF(A8,"Total Revenue","TTM",$B$1,"","USD","",$B$1)</f>
        <v>19752000000</v>
      </c>
      <c r="D8">
        <f>_xll.PBF(A8,"Diluted Weighted Average Shares Outstanding","TTM",$B$1,"","USD","",$B$1)</f>
        <v>827425000</v>
      </c>
      <c r="E8">
        <f>_xll.PBF(A8,"Net Debt","TTM",$B$1,"","USD","",$B$1)</f>
        <v>7610000000</v>
      </c>
      <c r="F8">
        <f>_xll.PBF(A8,"EBITDA","TTM",$B$1,"","USD","",$B$1)</f>
        <v>4623000000</v>
      </c>
      <c r="G8">
        <f>_xll.PBF(A8,"EBITDA","NTM",$B$1,"","USD","",$B$1)</f>
        <v>4623000000</v>
      </c>
      <c r="H8">
        <f>_xll.PBF(A8,"Diluted EPS (Analyst Normalized)","NTM",$B$1,"","USD","",$B$1)</f>
        <v>3.16</v>
      </c>
      <c r="I8">
        <f t="shared" ca="1" si="4"/>
        <v>76851234000</v>
      </c>
      <c r="J8">
        <f t="shared" ca="1" si="0"/>
        <v>84461234000</v>
      </c>
      <c r="K8">
        <f t="shared" ca="1" si="1"/>
        <v>18.269788881678565</v>
      </c>
      <c r="L8">
        <f t="shared" ca="1" si="2"/>
        <v>18.269788881678565</v>
      </c>
      <c r="M8">
        <f t="shared" ca="1" si="3"/>
        <v>29.39240506329114</v>
      </c>
    </row>
    <row r="9" spans="1:13" x14ac:dyDescent="0.25">
      <c r="A9" t="s">
        <v>24</v>
      </c>
      <c r="B9" t="s">
        <v>25</v>
      </c>
      <c r="C9">
        <f>_xll.PBF(A9,"Total Revenue","TTM",$B$1,"","USD","",$B$1)</f>
        <v>5941400000</v>
      </c>
      <c r="D9">
        <f>_xll.PBF(A9,"Diluted Weighted Average Shares Outstanding","TTM",$B$1,"","USD","",$B$1)</f>
        <v>247425000</v>
      </c>
      <c r="E9">
        <f>_xll.PBF(A9,"Net Debt","TTM",$B$1,"","USD","",$B$1)</f>
        <v>1857100000</v>
      </c>
      <c r="F9">
        <f>_xll.PBF(A9,"EBITDA","TTM",$B$1,"","USD","",$B$1)</f>
        <v>1304000000</v>
      </c>
      <c r="G9">
        <f>_xll.PBF(A9,"EBITDA","NTM",$B$1,"","USD","",$B$1)</f>
        <v>1304000000</v>
      </c>
      <c r="H9">
        <f>_xll.PBF(A9,"Diluted EPS (Analyst Normalized)","NTM",$B$1,"","USD","",$B$1)</f>
        <v>3.15</v>
      </c>
      <c r="I9">
        <f t="shared" ca="1" si="4"/>
        <v>26254266750</v>
      </c>
      <c r="J9">
        <f t="shared" ca="1" si="0"/>
        <v>28111366750</v>
      </c>
      <c r="K9">
        <f t="shared" ca="1" si="1"/>
        <v>21.557796587423312</v>
      </c>
      <c r="L9">
        <f t="shared" ca="1" si="2"/>
        <v>21.557796587423312</v>
      </c>
      <c r="M9">
        <f t="shared" ca="1" si="3"/>
        <v>33.685714285714283</v>
      </c>
    </row>
    <row r="10" spans="1:13" x14ac:dyDescent="0.25">
      <c r="A10" t="s">
        <v>26</v>
      </c>
      <c r="B10" t="s">
        <v>27</v>
      </c>
      <c r="C10">
        <f>_xll.PBF(A10,"Total Revenue","TTM",$B$1,"","USD","",$B$1)</f>
        <v>40326000000</v>
      </c>
      <c r="D10">
        <f>_xll.PBF(A10,"Diluted Weighted Average Shares Outstanding","TTM",$B$1,"","USD","",$B$1)</f>
        <v>1748484250</v>
      </c>
      <c r="E10">
        <f>_xll.PBF(A10,"Net Debt","TTM",$B$1,"","USD","",$B$1)</f>
        <v>7935000000</v>
      </c>
      <c r="F10">
        <f>_xll.PBF(A10,"EBITDA","TTM",$B$1,"","USD","",$B$1)</f>
        <v>10041000000</v>
      </c>
      <c r="G10">
        <f>_xll.PBF(A10,"EBITDA","NTM",$B$1,"","USD","",$B$1)</f>
        <v>10041000000</v>
      </c>
      <c r="H10">
        <f>_xll.PBF(A10,"Diluted EPS (Analyst Normalized)","NTM",$B$1,"","USD","",$B$1)</f>
        <v>3.21</v>
      </c>
      <c r="I10">
        <f>_xll.PBF(A10,"Market Cap","TTM",$B$1,"","USD","",$B$1)</f>
        <v>184227215078</v>
      </c>
      <c r="J10">
        <f t="shared" si="0"/>
        <v>192162215078</v>
      </c>
      <c r="K10">
        <f t="shared" si="1"/>
        <v>19.137756705308234</v>
      </c>
      <c r="L10">
        <f t="shared" si="2"/>
        <v>19.137756705308234</v>
      </c>
      <c r="M10">
        <f t="shared" si="3"/>
        <v>32.823661858858003</v>
      </c>
    </row>
    <row r="11" spans="1:13" x14ac:dyDescent="0.25">
      <c r="A11" t="s">
        <v>28</v>
      </c>
      <c r="B11" t="s">
        <v>29</v>
      </c>
      <c r="C11">
        <f>_xll.PBF(A11,"Total Revenue","TTM",$B$1,"","USD","",$B$1)</f>
        <v>6009500000</v>
      </c>
      <c r="D11">
        <f>_xll.PBF(A11,"Diluted Weighted Average Shares Outstanding","TTM",$B$1,"","USD","",$B$1)</f>
        <v>885900000</v>
      </c>
      <c r="E11">
        <f>_xll.PBF(A11,"Net Debt","TTM",$B$1,"","USD","",$B$1)</f>
        <v>3554900000</v>
      </c>
      <c r="F11">
        <f>_xll.PBF(A11,"EBITDA","TTM",$B$1,"","USD","",$B$1)</f>
        <v>1209600000</v>
      </c>
      <c r="G11">
        <f>_xll.PBF(A11,"EBITDA","NTM",$B$1,"","USD","",$B$1)</f>
        <v>1209600000</v>
      </c>
      <c r="H11">
        <f>_xll.PBF(A11,"Diluted EPS (Analyst Normalized)","NTM",$B$1,"","USD","",$B$1)</f>
        <v>0.35</v>
      </c>
      <c r="I11">
        <f>_xll.PBF(A11,"Market Cap","TTM",$B$1,"","USD","",$B$1)</f>
        <v>10383959031</v>
      </c>
      <c r="J11">
        <f t="shared" si="0"/>
        <v>13938859031</v>
      </c>
      <c r="K11">
        <f t="shared" si="1"/>
        <v>11.52352763806217</v>
      </c>
      <c r="L11">
        <f t="shared" si="2"/>
        <v>11.52352763806217</v>
      </c>
      <c r="M11">
        <f t="shared" si="3"/>
        <v>33.489620018383242</v>
      </c>
    </row>
    <row r="12" spans="1:13" x14ac:dyDescent="0.25">
      <c r="A12" t="s">
        <v>30</v>
      </c>
      <c r="B12" t="s">
        <v>31</v>
      </c>
      <c r="C12">
        <f>_xll.PBF(A12,"Total Revenue","TTM",$B$1,"","USD","",$B$1)</f>
        <v>2271400000</v>
      </c>
      <c r="D12">
        <f>_xll.PBF(A12,"Diluted Weighted Average Shares Outstanding","TTM",$B$1,"","USD","",$B$1)</f>
        <v>51450000</v>
      </c>
      <c r="E12">
        <f>_xll.PBF(A12,"Net Debt","TTM",$B$1,"","USD","",$B$1)</f>
        <v>1262300000</v>
      </c>
      <c r="F12">
        <f>_xll.PBF(A12,"EBITDA","TTM",$B$1,"","USD","",$B$1)</f>
        <v>306500000</v>
      </c>
      <c r="G12">
        <f>_xll.PBF(A12,"EBITDA","NTM",$B$1,"","USD","",$B$1)</f>
        <v>306500000</v>
      </c>
      <c r="H12">
        <f>_xll.PBF(A12,"Diluted EPS (Analyst Normalized)","NTM",$B$1,"","USD","",$B$1)</f>
        <v>2.06</v>
      </c>
      <c r="I12">
        <f>_xll.PBF(A12,"Market Cap","TTM",$B$1,"","USD","",$B$1)</f>
        <v>1888470485</v>
      </c>
      <c r="J12">
        <f t="shared" si="0"/>
        <v>3150770485</v>
      </c>
      <c r="K12">
        <f t="shared" si="1"/>
        <v>10.279838450244698</v>
      </c>
      <c r="L12">
        <f t="shared" si="2"/>
        <v>10.279838450244698</v>
      </c>
      <c r="M12">
        <f t="shared" si="3"/>
        <v>17.817944512062802</v>
      </c>
    </row>
    <row r="16" spans="1:13" x14ac:dyDescent="0.25">
      <c r="D16" cm="1" vm="6">
        <f t="array" aca="1" ref="D16" ca="1">_xlfn.STOCKHISTORY("KVUE",$B$1-1,$B$1,0,0,1)</f>
        <v>19.2</v>
      </c>
    </row>
    <row r="17" spans="4:4" x14ac:dyDescent="0.25">
      <c r="D17" cm="1" vm="7">
        <f t="array" aca="1" ref="D17" ca="1">_xlfn.STOCKHISTORY("PG",$B$1-1,$B$1,0,0,1)</f>
        <v>164.46</v>
      </c>
    </row>
    <row r="18" spans="4:4" x14ac:dyDescent="0.25">
      <c r="D18" cm="1" vm="8">
        <f t="array" aca="1" ref="D18" ca="1">_xlfn.STOCKHISTORY("KMB",$B$1-1,$B$1,0,0,1)</f>
        <v>136.09</v>
      </c>
    </row>
    <row r="19" spans="4:4" x14ac:dyDescent="0.25">
      <c r="D19" cm="1" vm="9">
        <f t="array" aca="1" ref="D19" ca="1">_xlfn.STOCKHISTORY("CL",$B$1-1,$B$1,0,0,1)</f>
        <v>92.88</v>
      </c>
    </row>
    <row r="20" spans="4:4" x14ac:dyDescent="0.25">
      <c r="D20" cm="1" vm="10">
        <f t="array" aca="1" ref="D20" ca="1">_xlfn.STOCKHISTORY("CHD",$B$1-1,$B$1,0,0,1)</f>
        <v>106.11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workbookViewId="0">
      <selection activeCell="I20" sqref="I20"/>
    </sheetView>
  </sheetViews>
  <sheetFormatPr defaultRowHeight="15" x14ac:dyDescent="0.25"/>
  <cols>
    <col min="1" max="13" width="20" customWidth="1"/>
  </cols>
  <sheetData>
    <row r="1" spans="1:13" x14ac:dyDescent="0.25">
      <c r="A1" t="s">
        <v>0</v>
      </c>
      <c r="B1" t="s">
        <v>1</v>
      </c>
    </row>
    <row r="2" spans="1:13" x14ac:dyDescent="0.25">
      <c r="A2" s="1" t="s">
        <v>2</v>
      </c>
    </row>
    <row r="4" spans="1:13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25">
      <c r="A5" t="s">
        <v>16</v>
      </c>
      <c r="B5" t="s">
        <v>17</v>
      </c>
      <c r="C5">
        <f>_xll.PBF(A5,"Total Revenue","TTM",$B$1,"","USD","",$B$1)</f>
        <v>15141000000</v>
      </c>
      <c r="D5">
        <f>_xll.PBF(A5,"Diluted Weighted Average Shares Outstanding","TTM",$B$1,"","USD","",$B$1)</f>
        <v>1926500000</v>
      </c>
      <c r="E5">
        <f>_xll.PBF(A5,"Net Debt","TTM",$B$1,"","USD","",$B$1)</f>
        <v>7674000000</v>
      </c>
      <c r="F5">
        <f>_xll.PBF(A5,"EBITDA","TTM",$B$1,"","USD","",$B$1)</f>
        <v>2958000000</v>
      </c>
      <c r="G5">
        <f>_xll.PBF(A5,"EBITDA","NTM",$B$1,"","USD","",$B$1)</f>
        <v>2958000000</v>
      </c>
      <c r="H5">
        <f>_xll.PBF(A5,"Diluted EPS (Analyst Normalized)","NTM",$B$1,"","USD","",$B$1)</f>
        <v>0.74</v>
      </c>
      <c r="I5">
        <f ca="1">G15*D5</f>
        <v>27683805000</v>
      </c>
      <c r="J5">
        <f t="shared" ref="J5:J12" ca="1" si="0">I5+E5</f>
        <v>35357805000</v>
      </c>
      <c r="K5">
        <f t="shared" ref="K5:K12" ca="1" si="1">IFERROR(J5/F5,"")</f>
        <v>11.95328093306288</v>
      </c>
      <c r="L5">
        <f t="shared" ref="L5:L12" ca="1" si="2">IFERROR(J5/G5,"")</f>
        <v>11.95328093306288</v>
      </c>
      <c r="M5">
        <f t="shared" ref="M5:M12" ca="1" si="3">I5/(D5*H5)</f>
        <v>19.418918918918919</v>
      </c>
    </row>
    <row r="6" spans="1:13" x14ac:dyDescent="0.25">
      <c r="A6" t="s">
        <v>18</v>
      </c>
      <c r="B6" t="s">
        <v>19</v>
      </c>
      <c r="C6">
        <f>_xll.PBF(A6,"Total Revenue","TTM",$B$1,"","USD","",$B$1)</f>
        <v>84933000000</v>
      </c>
      <c r="D6">
        <f>_xll.PBF(A6,"Diluted Weighted Average Shares Outstanding","TTM",$B$1,"","USD","",$B$1)</f>
        <v>2447100000</v>
      </c>
      <c r="E6">
        <f>_xll.PBF(A6,"Net Debt","TTM",$B$1,"","USD","",$B$1)</f>
        <v>24775000000</v>
      </c>
      <c r="F6">
        <f>_xll.PBF(A6,"EBITDA","TTM",$B$1,"","USD","",$B$1)</f>
        <v>24365000000</v>
      </c>
      <c r="G6">
        <f>_xll.PBF(A6,"EBITDA","NTM",$B$1,"","USD","",$B$1)</f>
        <v>24365000000</v>
      </c>
      <c r="H6">
        <f>_xll.PBF(A6,"Diluted EPS (Analyst Normalized)","NTM",$B$1,"","USD","",$B$1)</f>
        <v>6.85</v>
      </c>
      <c r="I6">
        <f t="shared" ref="I6:I9" ca="1" si="4">G16*D6</f>
        <v>367970427000</v>
      </c>
      <c r="J6">
        <f t="shared" ca="1" si="0"/>
        <v>392745427000</v>
      </c>
      <c r="K6">
        <f t="shared" ca="1" si="1"/>
        <v>16.119245926533964</v>
      </c>
      <c r="L6">
        <f t="shared" ca="1" si="2"/>
        <v>16.119245926533964</v>
      </c>
      <c r="M6">
        <f t="shared" ca="1" si="3"/>
        <v>21.951824817518247</v>
      </c>
    </row>
    <row r="7" spans="1:13" x14ac:dyDescent="0.25">
      <c r="A7" t="s">
        <v>20</v>
      </c>
      <c r="B7" t="s">
        <v>21</v>
      </c>
      <c r="C7">
        <f>_xll.PBF(A7,"Total Revenue","TTM",$B$1,"","USD","",$B$1)</f>
        <v>16471000000</v>
      </c>
      <c r="D7">
        <f>_xll.PBF(A7,"Diluted Weighted Average Shares Outstanding","TTM",$B$1,"","USD","",$B$1)</f>
        <v>333475000</v>
      </c>
      <c r="E7">
        <f>_xll.PBF(A7,"Net Debt","TTM",$B$1,"","USD","",$B$1)</f>
        <v>6687000000</v>
      </c>
      <c r="F7">
        <f>_xll.PBF(A7,"EBITDA","TTM",$B$1,"","USD","",$B$1)</f>
        <v>3032000000</v>
      </c>
      <c r="G7">
        <f>_xll.PBF(A7,"EBITDA","NTM",$B$1,"","USD","",$B$1)</f>
        <v>3032000000</v>
      </c>
      <c r="H7">
        <f>_xll.PBF(A7,"Diluted EPS (Analyst Normalized)","NTM",$B$1,"","USD","",$B$1)</f>
        <v>5.91</v>
      </c>
      <c r="I7">
        <f t="shared" ca="1" si="4"/>
        <v>39920292250</v>
      </c>
      <c r="J7">
        <f t="shared" ca="1" si="0"/>
        <v>46607292250</v>
      </c>
      <c r="K7">
        <f t="shared" ca="1" si="1"/>
        <v>15.371798235488127</v>
      </c>
      <c r="L7">
        <f t="shared" ca="1" si="2"/>
        <v>15.371798235488127</v>
      </c>
      <c r="M7">
        <f t="shared" ca="1" si="3"/>
        <v>20.255499153976313</v>
      </c>
    </row>
    <row r="8" spans="1:13" x14ac:dyDescent="0.25">
      <c r="A8" t="s">
        <v>22</v>
      </c>
      <c r="B8" t="s">
        <v>23</v>
      </c>
      <c r="C8">
        <f>_xll.PBF(A8,"Total Revenue","TTM",$B$1,"","USD","",$B$1)</f>
        <v>20097000000</v>
      </c>
      <c r="D8">
        <f>_xll.PBF(A8,"Diluted Weighted Average Shares Outstanding","TTM",$B$1,"","USD","",$B$1)</f>
        <v>814650000</v>
      </c>
      <c r="E8">
        <f>_xll.PBF(A8,"Net Debt","TTM",$B$1,"","USD","",$B$1)</f>
        <v>7140000000</v>
      </c>
      <c r="F8">
        <f>_xll.PBF(A8,"EBITDA","TTM",$B$1,"","USD","",$B$1)</f>
        <v>4746000000</v>
      </c>
      <c r="G8">
        <f>_xll.PBF(A8,"EBITDA","NTM",$B$1,"","USD","",$B$1)</f>
        <v>4746000000</v>
      </c>
      <c r="H8">
        <f>_xll.PBF(A8,"Diluted EPS (Analyst Normalized)","NTM",$B$1,"","USD","",$B$1)</f>
        <v>3.57</v>
      </c>
      <c r="I8">
        <f t="shared" ca="1" si="4"/>
        <v>62768782500</v>
      </c>
      <c r="J8">
        <f t="shared" ca="1" si="0"/>
        <v>69908782500</v>
      </c>
      <c r="K8">
        <f t="shared" ca="1" si="1"/>
        <v>14.730042667509482</v>
      </c>
      <c r="L8">
        <f t="shared" ca="1" si="2"/>
        <v>14.730042667509482</v>
      </c>
      <c r="M8">
        <f t="shared" ca="1" si="3"/>
        <v>21.58263305322129</v>
      </c>
    </row>
    <row r="9" spans="1:13" x14ac:dyDescent="0.25">
      <c r="A9" t="s">
        <v>24</v>
      </c>
      <c r="B9" t="s">
        <v>25</v>
      </c>
      <c r="C9">
        <f>_xll.PBF(A9,"Total Revenue","TTM",$B$1,"","USD","",$B$1)</f>
        <v>6141000000</v>
      </c>
      <c r="D9">
        <f>_xll.PBF(A9,"Diluted Weighted Average Shares Outstanding","TTM",$B$1,"","USD","",$B$1)</f>
        <v>246300000</v>
      </c>
      <c r="E9">
        <f>_xll.PBF(A9,"Net Debt","TTM",$B$1,"","USD","",$B$1)</f>
        <v>1899200000</v>
      </c>
      <c r="F9">
        <f>_xll.PBF(A9,"EBITDA","TTM",$B$1,"","USD","",$B$1)</f>
        <v>1329200000</v>
      </c>
      <c r="G9">
        <f>_xll.PBF(A9,"EBITDA","NTM",$B$1,"","USD","",$B$1)</f>
        <v>1329200000</v>
      </c>
      <c r="H9">
        <f>_xll.PBF(A9,"Diluted EPS (Analyst Normalized)","NTM",$B$1,"","USD","",$B$1)</f>
        <v>3.18</v>
      </c>
      <c r="I9">
        <f t="shared" ca="1" si="4"/>
        <v>21598047000</v>
      </c>
      <c r="J9">
        <f t="shared" ca="1" si="0"/>
        <v>23497247000</v>
      </c>
      <c r="K9">
        <f t="shared" ca="1" si="1"/>
        <v>17.677736232320193</v>
      </c>
      <c r="L9">
        <f t="shared" ca="1" si="2"/>
        <v>17.677736232320193</v>
      </c>
      <c r="M9">
        <f t="shared" ca="1" si="3"/>
        <v>27.575471698113208</v>
      </c>
    </row>
    <row r="10" spans="1:13" x14ac:dyDescent="0.25">
      <c r="A10" t="s">
        <v>26</v>
      </c>
      <c r="B10" t="s">
        <v>27</v>
      </c>
      <c r="C10">
        <f>_xll.PBF(A10,"Total Revenue","TTM",$B$1,"","USD","",$B$1)</f>
        <v>43843000000</v>
      </c>
      <c r="D10">
        <f>_xll.PBF(A10,"Diluted Weighted Average Shares Outstanding","TTM",$B$1,"","USD","",$B$1)</f>
        <v>1747795250</v>
      </c>
      <c r="E10">
        <f>_xll.PBF(A10,"Net Debt","TTM",$B$1,"","USD","",$B$1)</f>
        <v>5208000000</v>
      </c>
      <c r="F10">
        <f>_xll.PBF(A10,"EBITDA","TTM",$B$1,"","USD","",$B$1)</f>
        <v>11457000000</v>
      </c>
      <c r="G10">
        <f>_xll.PBF(A10,"EBITDA","NTM",$B$1,"","USD","",$B$1)</f>
        <v>11457000000</v>
      </c>
      <c r="H10">
        <f>_xll.PBF(A10,"Diluted EPS (Analyst Normalized)","NTM",$B$1,"","USD","",$B$1)</f>
        <v>7.98</v>
      </c>
      <c r="I10">
        <f>_xll.PBF(A10,"Market Cap","TTM",$B$1,"","USD","",$B$1)</f>
        <v>214959350088</v>
      </c>
      <c r="J10">
        <f t="shared" si="0"/>
        <v>220167350088</v>
      </c>
      <c r="K10">
        <f t="shared" si="1"/>
        <v>19.216841240115212</v>
      </c>
      <c r="L10">
        <f t="shared" si="2"/>
        <v>19.216841240115212</v>
      </c>
      <c r="M10">
        <f t="shared" si="3"/>
        <v>15.412138187118584</v>
      </c>
    </row>
    <row r="11" spans="1:13" x14ac:dyDescent="0.25">
      <c r="A11" t="s">
        <v>28</v>
      </c>
      <c r="B11" t="s">
        <v>29</v>
      </c>
      <c r="C11">
        <f>_xll.PBF(A11,"Total Revenue","TTM",$B$1,"","USD","",$B$1)</f>
        <v>5892900000</v>
      </c>
      <c r="D11">
        <f>_xll.PBF(A11,"Diluted Weighted Average Shares Outstanding","TTM",$B$1,"","USD","",$B$1)</f>
        <v>870900000</v>
      </c>
      <c r="E11">
        <f>_xll.PBF(A11,"Net Debt","TTM",$B$1,"","USD","",$B$1)</f>
        <v>3988100000</v>
      </c>
      <c r="F11">
        <f>_xll.PBF(A11,"EBITDA","TTM",$B$1,"","USD","",$B$1)</f>
        <v>285600000</v>
      </c>
      <c r="G11">
        <f>_xll.PBF(A11,"EBITDA","NTM",$B$1,"","USD","",$B$1)</f>
        <v>285600000</v>
      </c>
      <c r="H11">
        <f>_xll.PBF(A11,"Diluted EPS (Analyst Normalized)","NTM",$B$1,"","USD","",$B$1)</f>
        <v>-0.44</v>
      </c>
      <c r="I11">
        <f>_xll.PBF(A11,"Market Cap","TTM",$B$1,"","USD","",$B$1)</f>
        <v>3469214184</v>
      </c>
      <c r="J11">
        <f t="shared" si="0"/>
        <v>7457314184</v>
      </c>
      <c r="K11">
        <f t="shared" si="1"/>
        <v>26.11104406162465</v>
      </c>
      <c r="L11">
        <f t="shared" si="2"/>
        <v>26.11104406162465</v>
      </c>
      <c r="M11">
        <f t="shared" si="3"/>
        <v>-9.0533674255472398</v>
      </c>
    </row>
    <row r="12" spans="1:13" x14ac:dyDescent="0.25">
      <c r="A12" t="s">
        <v>30</v>
      </c>
      <c r="B12" t="s">
        <v>31</v>
      </c>
      <c r="C12">
        <f>_xll.PBF(A12,"Total Revenue","TTM",$B$1,"","USD","",$B$1)</f>
        <v>2203900000</v>
      </c>
      <c r="D12">
        <f>_xll.PBF(A12,"Diluted Weighted Average Shares Outstanding","TTM",$B$1,"","USD","",$B$1)</f>
        <v>48375000</v>
      </c>
      <c r="E12">
        <f>_xll.PBF(A12,"Net Debt","TTM",$B$1,"","USD","",$B$1)</f>
        <v>1212600000</v>
      </c>
      <c r="F12">
        <f>_xll.PBF(A12,"EBITDA","TTM",$B$1,"","USD","",$B$1)</f>
        <v>245100000</v>
      </c>
      <c r="G12">
        <f>_xll.PBF(A12,"EBITDA","NTM",$B$1,"","USD","",$B$1)</f>
        <v>245100000</v>
      </c>
      <c r="H12">
        <f>_xll.PBF(A12,"Diluted EPS (Analyst Normalized)","NTM",$B$1,"","USD","",$B$1)</f>
        <v>1.35</v>
      </c>
      <c r="I12">
        <f>_xll.PBF(A12,"Market Cap","TTM",$B$1,"","USD","",$B$1)</f>
        <v>900941691</v>
      </c>
      <c r="J12">
        <f t="shared" si="0"/>
        <v>2113541691</v>
      </c>
      <c r="K12">
        <f t="shared" si="1"/>
        <v>8.6231811138310892</v>
      </c>
      <c r="L12">
        <f t="shared" si="2"/>
        <v>8.6231811138310892</v>
      </c>
      <c r="M12">
        <f t="shared" si="3"/>
        <v>13.795642698822853</v>
      </c>
    </row>
    <row r="15" spans="1:13" x14ac:dyDescent="0.25">
      <c r="G15" cm="1" vm="11">
        <f t="array" aca="1" ref="G15" ca="1">_xlfn.STOCKHISTORY("KVUE",$B$1,$B$1,0,0,1)</f>
        <v>14.37</v>
      </c>
    </row>
    <row r="16" spans="1:13" x14ac:dyDescent="0.25">
      <c r="G16" cm="1" vm="12">
        <f t="array" aca="1" ref="G16" ca="1">_xlfn.STOCKHISTORY("PG",$B$1,$B$1,0,0,1)</f>
        <v>150.37</v>
      </c>
    </row>
    <row r="17" spans="7:7" x14ac:dyDescent="0.25">
      <c r="G17" cm="1" vm="13">
        <f t="array" aca="1" ref="G17" ca="1">_xlfn.STOCKHISTORY("KMB",$B$1,$B$1,0,0,1)</f>
        <v>119.71</v>
      </c>
    </row>
    <row r="18" spans="7:7" x14ac:dyDescent="0.25">
      <c r="G18" cm="1" vm="14">
        <f t="array" aca="1" ref="G18" ca="1">_xlfn.STOCKHISTORY("CL",$B$1,$B$1,0,0,1)</f>
        <v>77.05</v>
      </c>
    </row>
    <row r="19" spans="7:7" x14ac:dyDescent="0.25">
      <c r="G19" cm="1" vm="15">
        <f t="array" aca="1" ref="G19" ca="1">_xlfn.STOCKHISTORY("CHD",$B$1,$B$1,0,0,1)</f>
        <v>87.69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5C82-9E6F-46F4-BB6B-B45B07C00AF4}">
  <dimension ref="A1"/>
  <sheetViews>
    <sheetView workbookViewId="0"/>
  </sheetViews>
  <sheetFormatPr defaultRowHeight="15" x14ac:dyDescent="0.25"/>
  <sheetData>
    <row r="1" spans="1:1" x14ac:dyDescent="0.25">
      <c r="A1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tabSelected="1" zoomScale="110" zoomScaleNormal="110" workbookViewId="0">
      <selection activeCell="A3" sqref="A3:A6"/>
    </sheetView>
  </sheetViews>
  <sheetFormatPr defaultRowHeight="15" x14ac:dyDescent="0.25"/>
  <cols>
    <col min="1" max="7" width="22" customWidth="1"/>
  </cols>
  <sheetData>
    <row r="1" spans="1:7" x14ac:dyDescent="0.25">
      <c r="A1" s="2" t="s">
        <v>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</row>
    <row r="2" spans="1:7" x14ac:dyDescent="0.25">
      <c r="A2" t="s">
        <v>17</v>
      </c>
      <c r="B2">
        <f ca="1">IPO_2023_05_04!L5</f>
        <v>15.147321506857665</v>
      </c>
      <c r="C2">
        <f ca="1">Post1Y_2024_05_04!L5</f>
        <v>13.878382784479948</v>
      </c>
      <c r="D2">
        <f ca="1">PreDeal_2025_10_31!L5</f>
        <v>11.95328093306288</v>
      </c>
      <c r="E2">
        <f ca="1">IPO_2023_05_04!M5</f>
        <v>28.924731182795696</v>
      </c>
      <c r="F2">
        <f ca="1">Post1Y_2024_05_04!M5</f>
        <v>21.333333333333332</v>
      </c>
      <c r="G2">
        <f ca="1">PreDeal_2025_10_31!M5</f>
        <v>19.418918918918919</v>
      </c>
    </row>
    <row r="3" spans="1:7" x14ac:dyDescent="0.25">
      <c r="A3" t="s">
        <v>19</v>
      </c>
      <c r="B3">
        <f ca="1">IPO_2023_05_04!L6</f>
        <v>19.935900521057413</v>
      </c>
      <c r="C3">
        <f ca="1">Post1Y_2024_05_04!L6</f>
        <v>19.257387863385055</v>
      </c>
      <c r="D3">
        <f ca="1">PreDeal_2025_10_31!L6</f>
        <v>16.119245926533964</v>
      </c>
      <c r="E3">
        <f ca="1">IPO_2023_05_04!M6</f>
        <v>27.092334494773517</v>
      </c>
      <c r="F3">
        <f ca="1">Post1Y_2024_05_04!M6</f>
        <v>26.872549019607842</v>
      </c>
      <c r="G3">
        <f ca="1">PreDeal_2025_10_31!M6</f>
        <v>21.951824817518247</v>
      </c>
    </row>
    <row r="4" spans="1:7" x14ac:dyDescent="0.25">
      <c r="A4" t="s">
        <v>21</v>
      </c>
      <c r="B4">
        <f ca="1">IPO_2023_05_04!L7</f>
        <v>16.499809523809525</v>
      </c>
      <c r="C4">
        <f ca="1">Post1Y_2024_05_04!L7</f>
        <v>20.080786886792453</v>
      </c>
      <c r="D4">
        <f ca="1">PreDeal_2025_10_31!L7</f>
        <v>15.371798235488127</v>
      </c>
      <c r="E4">
        <f ca="1">IPO_2023_05_04!M7</f>
        <v>24.727739726027398</v>
      </c>
      <c r="F4">
        <f ca="1">Post1Y_2024_05_04!M7</f>
        <v>25.016544117647054</v>
      </c>
      <c r="G4">
        <f ca="1">PreDeal_2025_10_31!M7</f>
        <v>20.255499153976313</v>
      </c>
    </row>
    <row r="5" spans="1:7" x14ac:dyDescent="0.25">
      <c r="A5" t="s">
        <v>23</v>
      </c>
      <c r="B5">
        <f ca="1">IPO_2023_05_04!L8</f>
        <v>24.065755730659024</v>
      </c>
      <c r="C5">
        <f ca="1">Post1Y_2024_05_04!L8</f>
        <v>18.269788881678565</v>
      </c>
      <c r="D5">
        <f ca="1">PreDeal_2025_10_31!L8</f>
        <v>14.730042667509482</v>
      </c>
      <c r="E5">
        <f ca="1">IPO_2023_05_04!M8</f>
        <v>42.078125000000007</v>
      </c>
      <c r="F5">
        <f ca="1">Post1Y_2024_05_04!M8</f>
        <v>29.39240506329114</v>
      </c>
      <c r="G5">
        <f ca="1">PreDeal_2025_10_31!M8</f>
        <v>21.58263305322129</v>
      </c>
    </row>
    <row r="6" spans="1:7" x14ac:dyDescent="0.25">
      <c r="A6" t="s">
        <v>25</v>
      </c>
      <c r="B6">
        <f ca="1">IPO_2023_05_04!L9</f>
        <v>31.124392252102833</v>
      </c>
      <c r="C6">
        <f ca="1">Post1Y_2024_05_04!L9</f>
        <v>21.557796587423312</v>
      </c>
      <c r="D6">
        <f ca="1">PreDeal_2025_10_31!L9</f>
        <v>17.677736232320193</v>
      </c>
      <c r="E6">
        <f ca="1">IPO_2023_05_04!M9</f>
        <v>58.479041916167667</v>
      </c>
      <c r="F6">
        <f ca="1">Post1Y_2024_05_04!M9</f>
        <v>33.685714285714283</v>
      </c>
      <c r="G6">
        <f ca="1">PreDeal_2025_10_31!M9</f>
        <v>27.575471698113208</v>
      </c>
    </row>
    <row r="7" spans="1:7" x14ac:dyDescent="0.25">
      <c r="A7" t="s">
        <v>27</v>
      </c>
      <c r="B7">
        <f>IPO_2023_05_04!L10</f>
        <v>18.967744705932525</v>
      </c>
      <c r="C7">
        <f>Post1Y_2024_05_04!L10</f>
        <v>19.137756705308234</v>
      </c>
      <c r="D7">
        <f>PreDeal_2025_10_31!L10</f>
        <v>19.216841240115212</v>
      </c>
      <c r="E7">
        <f>IPO_2023_05_04!M10</f>
        <v>33.325291960202165</v>
      </c>
      <c r="F7">
        <f>Post1Y_2024_05_04!M10</f>
        <v>32.823661858858003</v>
      </c>
      <c r="G7">
        <f>PreDeal_2025_10_31!M10</f>
        <v>15.412138187118584</v>
      </c>
    </row>
    <row r="8" spans="1:7" x14ac:dyDescent="0.25">
      <c r="A8" t="s">
        <v>29</v>
      </c>
      <c r="B8">
        <f>IPO_2023_05_04!L11</f>
        <v>14.953572584448693</v>
      </c>
      <c r="C8">
        <f>Post1Y_2024_05_04!L11</f>
        <v>11.52352763806217</v>
      </c>
      <c r="D8">
        <f>PreDeal_2025_10_31!L11</f>
        <v>26.11104406162465</v>
      </c>
      <c r="E8">
        <f>IPO_2023_05_04!M11</f>
        <v>81.802430536372</v>
      </c>
      <c r="F8">
        <f>Post1Y_2024_05_04!M11</f>
        <v>33.489620018383242</v>
      </c>
      <c r="G8">
        <f>PreDeal_2025_10_31!M11</f>
        <v>-9.0533674255472398</v>
      </c>
    </row>
    <row r="9" spans="1:7" x14ac:dyDescent="0.25">
      <c r="A9" t="s">
        <v>31</v>
      </c>
      <c r="B9">
        <f>IPO_2023_05_04!L12</f>
        <v>12.434364925836496</v>
      </c>
      <c r="C9">
        <f>Post1Y_2024_05_04!L12</f>
        <v>10.279838450244698</v>
      </c>
      <c r="D9">
        <f>PreDeal_2025_10_31!L12</f>
        <v>8.6231811138310892</v>
      </c>
      <c r="E9">
        <f>IPO_2023_05_04!M12</f>
        <v>22.366327919364419</v>
      </c>
      <c r="F9">
        <f>Post1Y_2024_05_04!M12</f>
        <v>17.817944512062802</v>
      </c>
      <c r="G9">
        <f>PreDeal_2025_10_31!M12</f>
        <v>13.795642698822853</v>
      </c>
    </row>
    <row r="12" spans="1:7" x14ac:dyDescent="0.25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45</v>
      </c>
      <c r="F12" s="3" t="s">
        <v>46</v>
      </c>
      <c r="G12" s="3" t="s">
        <v>47</v>
      </c>
    </row>
    <row r="13" spans="1:7" x14ac:dyDescent="0.25">
      <c r="A13" t="s">
        <v>48</v>
      </c>
      <c r="B13" s="4">
        <f ca="1">AVERAGE(B3:B9)</f>
        <v>19.711648606263786</v>
      </c>
      <c r="C13" s="4">
        <f t="shared" ref="C13:D13" ca="1" si="0">AVERAGE(C3:C9)</f>
        <v>17.15812614469921</v>
      </c>
      <c r="D13" s="4">
        <f t="shared" ca="1" si="0"/>
        <v>16.835698496774675</v>
      </c>
      <c r="E13" s="4">
        <f ca="1">AVERAGE(E3:E6)</f>
        <v>38.094310284242148</v>
      </c>
      <c r="F13" s="4">
        <f t="shared" ref="F13:G13" ca="1" si="1">AVERAGE(F3:F6)</f>
        <v>28.741803121565081</v>
      </c>
      <c r="G13" s="4">
        <f t="shared" ca="1" si="1"/>
        <v>22.841357180707263</v>
      </c>
    </row>
    <row r="14" spans="1:7" x14ac:dyDescent="0.25">
      <c r="A14" t="s">
        <v>49</v>
      </c>
      <c r="B14" s="4">
        <f ca="1">B2</f>
        <v>15.147321506857665</v>
      </c>
      <c r="C14" s="4">
        <f ca="1">C2</f>
        <v>13.878382784479948</v>
      </c>
      <c r="D14" s="4">
        <f ca="1">D2</f>
        <v>11.95328093306288</v>
      </c>
      <c r="E14" s="4">
        <f ca="1">B2</f>
        <v>15.147321506857665</v>
      </c>
      <c r="F14" s="4">
        <f ca="1">C2</f>
        <v>13.878382784479948</v>
      </c>
      <c r="G14" s="4">
        <f ca="1">D2</f>
        <v>11.95328093306288</v>
      </c>
    </row>
    <row r="15" spans="1:7" x14ac:dyDescent="0.25">
      <c r="A15" t="s">
        <v>50</v>
      </c>
      <c r="B15" s="5">
        <f ca="1">IFERROR(B2/B13-1,"")</f>
        <v>-0.23155481261753574</v>
      </c>
      <c r="C15" s="5">
        <f ca="1">IFERROR(C2/C13-1,"")</f>
        <v>-0.19114810863146026</v>
      </c>
      <c r="D15" s="5">
        <f ca="1">IFERROR(D2/D13-1,"")</f>
        <v>-0.29000386082271268</v>
      </c>
      <c r="E15" s="5">
        <f ca="1">IFERROR(B2/E13-1,"")</f>
        <v>-0.60237312622710981</v>
      </c>
      <c r="F15" s="5">
        <f ca="1">IFERROR(C2/F13-1,"")</f>
        <v>-0.51713597348849194</v>
      </c>
      <c r="G15" s="5">
        <f ca="1">IFERROR(D2/G13-1,"")</f>
        <v>-0.47668254392698228</v>
      </c>
    </row>
    <row r="17" spans="1:7" x14ac:dyDescent="0.25">
      <c r="A17" t="s">
        <v>51</v>
      </c>
      <c r="B17" s="4">
        <f ca="1">AVERAGE(E3:E9)</f>
        <v>41.410184507558178</v>
      </c>
      <c r="C17" s="4">
        <f ca="1">AVERAGE(F3:F9)</f>
        <v>28.442634125080623</v>
      </c>
      <c r="D17" s="4">
        <f ca="1">AVERAGE(G3:G9)</f>
        <v>15.931406026174752</v>
      </c>
      <c r="E17" s="4">
        <f ca="1">AVERAGE(E3:E6)</f>
        <v>38.094310284242148</v>
      </c>
      <c r="F17" s="4">
        <f ca="1">AVERAGE(F3:F6)</f>
        <v>28.741803121565081</v>
      </c>
      <c r="G17" s="4">
        <f ca="1">AVERAGE(G3:G6)</f>
        <v>22.841357180707263</v>
      </c>
    </row>
    <row r="18" spans="1:7" x14ac:dyDescent="0.25">
      <c r="A18" t="s">
        <v>52</v>
      </c>
      <c r="B18" s="4">
        <f ca="1">E2</f>
        <v>28.924731182795696</v>
      </c>
      <c r="C18" s="4">
        <f ca="1">F2</f>
        <v>21.333333333333332</v>
      </c>
      <c r="D18" s="4">
        <f ca="1">G2</f>
        <v>19.418918918918919</v>
      </c>
      <c r="E18" s="4">
        <f ca="1">E2</f>
        <v>28.924731182795696</v>
      </c>
      <c r="F18" s="4">
        <f ca="1">F2</f>
        <v>21.333333333333332</v>
      </c>
      <c r="G18" s="4">
        <f ca="1">G2</f>
        <v>19.418918918918919</v>
      </c>
    </row>
    <row r="19" spans="1:7" x14ac:dyDescent="0.25">
      <c r="A19" t="s">
        <v>50</v>
      </c>
      <c r="B19" s="5">
        <f ca="1">IFERROR(E2/B17-1,"")</f>
        <v>-0.30150682671997364</v>
      </c>
      <c r="C19" s="5">
        <f ca="1">IFERROR(F2/C17-1,"")</f>
        <v>-0.24995226393178305</v>
      </c>
      <c r="D19" s="5">
        <f ca="1">IFERROR(G2/D17-1,"")</f>
        <v>0.21890804157613597</v>
      </c>
      <c r="E19" s="5">
        <f ca="1">IFERROR(E2/E17-1,"")</f>
        <v>-0.24070731384889998</v>
      </c>
      <c r="F19" s="5">
        <f ca="1">IFERROR(F2/F17-1,"")</f>
        <v>-0.25775939515336621</v>
      </c>
      <c r="G19" s="5">
        <f ca="1">IFERROR(G2/G17-1,"")</f>
        <v>-0.14983515360808219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7312-01A8-488D-BAD3-A4375A5A7C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IPO_2023_05_04</vt:lpstr>
      <vt:lpstr>Post1Y_2024_05_04</vt:lpstr>
      <vt:lpstr>PreDeal_2025_10_31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Jain, Lakshita</cp:lastModifiedBy>
  <dcterms:created xsi:type="dcterms:W3CDTF">2026-04-04T17:29:50Z</dcterms:created>
  <dcterms:modified xsi:type="dcterms:W3CDTF">2026-04-04T18:43:49Z</dcterms:modified>
</cp:coreProperties>
</file>